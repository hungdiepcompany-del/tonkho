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Kho" sheetId="1" r:id="rId5"/>
    <sheet state="visible" name="Nhap-Xuat" sheetId="2" r:id="rId6"/>
    <sheet state="visible" name="Hoa-Don" sheetId="3" r:id="rId7"/>
    <sheet state="visible" name="MaHangHoa" sheetId="4" r:id="rId8"/>
    <sheet state="visible" name="PhanLoai" sheetId="5" r:id="rId9"/>
    <sheet state="visible" name="VietTat" sheetId="6" r:id="rId10"/>
    <sheet state="visible" name="FileLog" sheetId="7" r:id="rId11"/>
    <sheet state="visible" name="VietHoaDon" sheetId="8" r:id="rId12"/>
  </sheets>
  <definedNames>
    <definedName name="VHD_TRUOC_THUE">VietHoaDon!$B$7</definedName>
    <definedName name="VHD_UU_TIEN_DG">VietHoaDon!$B$9</definedName>
    <definedName name="VHD_SL1_TO">VietHoaDon!$C$2</definedName>
    <definedName name="VHD_DG1_BE">VietHoaDon!$B$3</definedName>
    <definedName name="VHD_UU_TIEN_SL">VietHoaDon!$B$8</definedName>
    <definedName name="VHD_DG1_TO">VietHoaDon!$C$3</definedName>
    <definedName name="VHD_DG2_TO">VietHoaDon!$C$5</definedName>
    <definedName name="VHD_SL1_BE">VietHoaDon!$B$2</definedName>
    <definedName name="VHD_GIA_TRI_MUC_TIEU">VietHoaDon!$B$6</definedName>
    <definedName name="VHD_DG2_BE">VietHoaDon!$B$5</definedName>
    <definedName name="VHD_SL2_TO">VietHoaDon!$C$4</definedName>
    <definedName name="VHD_SL2_BE">VietHoaDon!$B$4</definedName>
    <definedName hidden="1" localSheetId="1" name="_xlnm._FilterDatabase">'Nhap-Xuat'!$A$1:$P$1333</definedName>
  </definedNames>
  <calcPr/>
</workbook>
</file>

<file path=xl/sharedStrings.xml><?xml version="1.0" encoding="utf-8"?>
<sst xmlns="http://schemas.openxmlformats.org/spreadsheetml/2006/main" count="5849" uniqueCount="1731">
  <si>
    <t>Mã hàng</t>
  </si>
  <si>
    <t>Tên hàng</t>
  </si>
  <si>
    <t>ĐVT</t>
  </si>
  <si>
    <t>Số lượng</t>
  </si>
  <si>
    <t>Giá trị</t>
  </si>
  <si>
    <t>Đơn giá BQ</t>
  </si>
  <si>
    <t>ONGTHEP</t>
  </si>
  <si>
    <t>Ống thép, Ống tôn mạ CN 20x40x1.4x6.0</t>
  </si>
  <si>
    <t>kg</t>
  </si>
  <si>
    <t>THEPGOC</t>
  </si>
  <si>
    <t>Thép góc</t>
  </si>
  <si>
    <t>THEPHINH</t>
  </si>
  <si>
    <t>Thép hình, Thép U, Thép I, Thép V, Thép H</t>
  </si>
  <si>
    <t>THEPHOP</t>
  </si>
  <si>
    <t>Thép hộp</t>
  </si>
  <si>
    <t>ĐÃ CẬP NHẬT ĐẾN NGÀY</t>
  </si>
  <si>
    <t>THEPONG</t>
  </si>
  <si>
    <t>Thép ống</t>
  </si>
  <si>
    <t>THEPTAM</t>
  </si>
  <si>
    <t>Thép tấm</t>
  </si>
  <si>
    <t>TONMA</t>
  </si>
  <si>
    <t>Tôn mạ</t>
  </si>
  <si>
    <t>XAGO</t>
  </si>
  <si>
    <t>Xà gồ</t>
  </si>
  <si>
    <t>TỔNG</t>
  </si>
  <si>
    <t>STT</t>
  </si>
  <si>
    <t>Ngày</t>
  </si>
  <si>
    <t>Hóa đơn số</t>
  </si>
  <si>
    <t>Tên khách hàng</t>
  </si>
  <si>
    <t>Phân loại</t>
  </si>
  <si>
    <t>Đơn giá</t>
  </si>
  <si>
    <t>Thành tiền</t>
  </si>
  <si>
    <t>Số lượng tồn</t>
  </si>
  <si>
    <t>Giá trị tồn</t>
  </si>
  <si>
    <t>HashIndex</t>
  </si>
  <si>
    <t>InvoiceKey</t>
  </si>
  <si>
    <t>HĐ</t>
  </si>
  <si>
    <t>CT TNHH Hoàng Mạnh</t>
  </si>
  <si>
    <t>NHAP</t>
  </si>
  <si>
    <t>e421f31badc311cde96791e067a8ea9489c5bf6e2ec852acb3584548ad250e50</t>
  </si>
  <si>
    <t>CT CP Thép Miền Bắc</t>
  </si>
  <si>
    <t>b6d89e982b5ae453f36ee36e1f582fb1eea369853dc01d0f8af50b8c22417820</t>
  </si>
  <si>
    <t>XUAT</t>
  </si>
  <si>
    <t>46ee886a93bcbc1c6546523a804ad89b5e970544740d67a463dae39e76586695</t>
  </si>
  <si>
    <t>Nguyễn Văn Nam</t>
  </si>
  <si>
    <t>281d646ba96a0f080dbf37dfd250a729bdb70548e420a6994e8bf7062a9c3c3e</t>
  </si>
  <si>
    <t>CT CP Cầu Đuống Sông Hoá</t>
  </si>
  <si>
    <t>c8112f99426176a5d60c06a8c8926009c2bebd739a34b1bb49fe85307a71d047</t>
  </si>
  <si>
    <t>CN CT TNHH MTV KTCTTL Bắc Thái Bình-xn Xây Lắp</t>
  </si>
  <si>
    <t>fabfe5daeaa3d857e2bb38fe1558e62ed7c02cb0a69d7e50fd3a887e9ff42957</t>
  </si>
  <si>
    <t>CT CP Tư Vấn Xây Dựng Và Thương Mại Bắc Đô</t>
  </si>
  <si>
    <t>14c3c526cd3c6df4d39693ed4bb790da6b66db3eae3b9b8125d5014b83b0d4b7</t>
  </si>
  <si>
    <t>CT CP Sản Xuất Và Kinh Doanh Kim Khí</t>
  </si>
  <si>
    <t>b33972b10f9b327a626faaed23ba4789d64ca194daa53cdfe4494a83e7a75aa5</t>
  </si>
  <si>
    <t>CT TNHH MTV Thép Hoàng Khang</t>
  </si>
  <si>
    <t>f9a1a8d2a54184fc26929ba2f7f7211b1df0f14a62a419b684342c61565c344a</t>
  </si>
  <si>
    <t>b69ab2d41ab5567ba9026ee4beead63d0bea04ffe51b3dbf5d0ffb1992be0185</t>
  </si>
  <si>
    <t>55b196e3abde4d77575c3c73a177dfec7531af8488de4b8f680578e43dddf896</t>
  </si>
  <si>
    <t>030b91a3c22fad846b9422ad57305760c56720c613b911ada5873c34df930d67</t>
  </si>
  <si>
    <t>63f07129331634a3795fc82d45f9bde312ef9c3c337447d2a16b208a0cb2644f</t>
  </si>
  <si>
    <t>acc9b50e0b4a707ad8be87cc11ba828aa8c797694fff01371301318e2fa0783a</t>
  </si>
  <si>
    <t>CT CP Đầu Tư Và Xây Dựng Thái Bình IDICO</t>
  </si>
  <si>
    <t>cf54cb9ff61f6f3a69c0d154327be21117f41f4f75a67e0ab25106c3634f82c5</t>
  </si>
  <si>
    <t>CT CP Quản Lý Đường Bộ Thái Bình</t>
  </si>
  <si>
    <t>04a2797c3d522641c5f53cbadba13977d8db4609e75411d07c19d5f06ca0f083</t>
  </si>
  <si>
    <t>4a04c3576d83990cb847a6c8dc20451947b1155dea4a1563006f5b74d5713a2b</t>
  </si>
  <si>
    <t>7602c2022bffbb447e1d6136a6630ca095ada6098c37b07810cbce36792a283f</t>
  </si>
  <si>
    <t>e44b791a9ec36e657d5fb591fb1d6657cff3dcb8d9a80f14fc8a4fa72f99b6db</t>
  </si>
  <si>
    <t>18016f9b8d059e50ab8d30077e3df3e84b3751c7f6df9e6409a7e294d31fa55f</t>
  </si>
  <si>
    <t>CT TNHH Thương Mại Đồng Đạt</t>
  </si>
  <si>
    <t>529ca3f37f51f53e68c9f39fc0c65b2a849ac83f183e915decadd79e94cea9b3</t>
  </si>
  <si>
    <t>CT CP Thép HTS</t>
  </si>
  <si>
    <t>28f9115e3bccd4b4c5826e982cba41c004aed5ac69bc6dfdfc15c48b67d141d4</t>
  </si>
  <si>
    <t>c3261e4a1ef1466f0c51d441c9a0c9cc533ffc1379c215e1de38ee0d9384686c</t>
  </si>
  <si>
    <t>CT TNHH Xây Dựng Và Kinh Doanh Thương Mại Phương Bắc</t>
  </si>
  <si>
    <t>55c98f660665e96aa3dd4b8f4894ec00fbebade92f359f524ab69d661e080cbb</t>
  </si>
  <si>
    <t>2f0cb1d1ea4e5055eeebe0c16535cfaeac33220a1c25ebe81601d1ba3e1c36ad</t>
  </si>
  <si>
    <t>5c691cb0e9386b19860ad124b02350d485edb745a830cf641764caaf963c3c07</t>
  </si>
  <si>
    <t>7336f1aea8e3f9e55b17170b4930ae4dee4eb808c843b237b2ff88342d836165</t>
  </si>
  <si>
    <t>0b21ea762ed4b99de924d709df5bb03fce00588524b5f424a91bbb8dcacd133d</t>
  </si>
  <si>
    <t>46135458382f2698d55bd75435f8208b4040b19fff315efe790c91b41b08da0f</t>
  </si>
  <si>
    <t>CT TNHH Kim Khí Chương Dương</t>
  </si>
  <si>
    <t>461f9b0b1139d1e056c0408676463dd509f76bac72df5e73b25d73c580ef955e</t>
  </si>
  <si>
    <t>be7bdeabe32bd4854a881235b74ae28f8340eb994e304762293ff60aa572bee2</t>
  </si>
  <si>
    <t>CT TNHH Trường Thắng</t>
  </si>
  <si>
    <t>a39042a5878ba4126a6959cc9a5c4bcd959c37d0d4e9568537cd1477de6c59b5</t>
  </si>
  <si>
    <t>CT TNHH Thương Mại Ngọc Hiếu</t>
  </si>
  <si>
    <t>50175329cc4b6e7cbb9e0bd71b849ef347471a6249171f38e795097172020af0</t>
  </si>
  <si>
    <t>7ff4a0c7a87c8728e614d81f3742d80128050e2774c6bd12ade05b209e3d34d9</t>
  </si>
  <si>
    <t>e674b284a4fdb590fe8e4e74587937603702e31808e96fe054fb0f210dad468c</t>
  </si>
  <si>
    <t>ac9608d7578ea34a8fc9770ecfc8082702574e66d137c659c69ffb409c1000dd</t>
  </si>
  <si>
    <t>908774e7efaace152dcf07c6872b358d1ea930f986c0a06884bcec0666cd33fc</t>
  </si>
  <si>
    <t>645ca63d090350f8bf180d1b713723b92df59078a466ba4279abad50e155eaf2</t>
  </si>
  <si>
    <t>CT TNHH Sứ Đông Lâm</t>
  </si>
  <si>
    <t>3f3aeb2b6cf5389531f29608735ecbc64f7fbe1a16ac8053d3a3dc1c71888d0f</t>
  </si>
  <si>
    <t>38dbf4d5f8eaea5db5214b659a9d11334e057cd3439419fd9bc7055f55212d9e</t>
  </si>
  <si>
    <t>ac700114d5405eaf5cca19c079942faca58422fd0b5e1eb63b74b2bf87e2877b</t>
  </si>
  <si>
    <t>6b52f25e954046c3934a78774df51de128e6b090d84919c43ec4f790403a047b</t>
  </si>
  <si>
    <t>7a583550cdb710b65e8b6637db799e4d110f99e54d4bbd83fa72cbd8abdfe704</t>
  </si>
  <si>
    <t>14b9746ec4a4ff14db1b0d5bc6e9927f96638d6f560ebe4527a8f8ee26c8fe5c</t>
  </si>
  <si>
    <t>9f5eeb1e73cb493cc389e07714e7dc54f6c4ab364b4d571f0162fcfabfdb2649</t>
  </si>
  <si>
    <t>ac2494d09d5d1002602c447bae5a257312db9367c2e4a1778103c8ad39e4aa75</t>
  </si>
  <si>
    <t>61153267c982bab4fcc4d551f2e08aaef480328cb916a1142aed67ef5853bf90</t>
  </si>
  <si>
    <t>8c5aea26f2e33ff19e3b188003bb32dab0b40177605f8ebc425b317700635aa1</t>
  </si>
  <si>
    <t>8ff9713e7a1e9d1a9b15608284ffe90d13ebbdcb49c46982c3cea99c8d077ee1</t>
  </si>
  <si>
    <t>CT CP Công Nghiệp Bắc Việt</t>
  </si>
  <si>
    <t>74fdd2ca032f3ac5b5d22d6f28603e8cf15ce78aee179b311b665a1de4ca5289</t>
  </si>
  <si>
    <t>498c1019290d4a7577ecc9f3c59e50ee941dd6a6514428bfa2a5a23b675f453c</t>
  </si>
  <si>
    <t>624d216e182cec74d94b2dd4dddffc740d332bbd6654af8385c1c72cd88e6c05</t>
  </si>
  <si>
    <t>bc49ad87a828da6ce688a7ec6c2d792c551c8ec5595e755c321292ffbc767427</t>
  </si>
  <si>
    <t>bbe74a39f54b78b09e07795da73779077bca65b49da30dc223c538a547a16f4f</t>
  </si>
  <si>
    <t>4a64117c4103e7a11598e4c7d6c5a2e2b0574bad391b96c1b7c68457930d2d8b</t>
  </si>
  <si>
    <t>5cc77281fe66534ad9be9d1e7db3ee2408d9daece2fa12bbceefb5fe0730ed4d</t>
  </si>
  <si>
    <t>bf7b9496df2256aa457a9bdfe825bfebf17d2b4dc89613a8f7cee361426ee690</t>
  </si>
  <si>
    <t>e01fce1d91671c8db2fd60b998bc36ebcb361cd2c9d5becd8afb2795dd146fd1</t>
  </si>
  <si>
    <t>CT TNHH Công Nghiệp Chính Xác Âu Lực</t>
  </si>
  <si>
    <t>785d19748d0f4f517a3129e48833e57bc9642c6a7aeff57b15f8ea8cabbbf355</t>
  </si>
  <si>
    <t>CT TNHH Xây Lắp Điện Lực Và Hạ Tầng Kỹ Thuật</t>
  </si>
  <si>
    <t>c21bc14afa57d6936da999b32cc36d1f01cbaa707af91ffb5f938ec4beae1e88</t>
  </si>
  <si>
    <t>b6da856b0a956176ac3cf6bb536d200bf7a8b85d5036a2c0d603502579432acd</t>
  </si>
  <si>
    <t>0e7e3edaf97c1658ea05aef480318d4dd932de09eb18e2d55695edfedfce0533</t>
  </si>
  <si>
    <t>26936370c9883380391db7f7d959696d7499e292ff1f38b5505b33c9c5af6fae</t>
  </si>
  <si>
    <t>ab70134ab64d2317eb5c7e8cb6ec23b95265f33b7684912106ca1a06b24fd06a</t>
  </si>
  <si>
    <t>XN Cơ Khí Vĩnh Quang</t>
  </si>
  <si>
    <t>64fb5dd483f06e5e8d6d7f267e7b028bfe3ce8c1e9c4aac8259bc3d3e601b63d</t>
  </si>
  <si>
    <t>f8814802d02cfa6e73ed8855acff786f7dee3872ce4064735ca04219163dd689</t>
  </si>
  <si>
    <t>44316061dfdca1b791592d1efe69b20402a5c8ae5a34c2ec914ea6f7655069a3</t>
  </si>
  <si>
    <t>24c75d06c7a606a8d8dff739a0b5407a128492b388ae635f92153b35f899fd46</t>
  </si>
  <si>
    <t>ea7197fff3c0d159c13f1bb0bafb38b7f7fdd596ca1186b031214173c26baa97</t>
  </si>
  <si>
    <t>21a8b1a9ce0b5fd51edc944e83bf100ca3ba2c692a3ff5ff3054e4a733653709</t>
  </si>
  <si>
    <t>Khách Lẻ</t>
  </si>
  <si>
    <t>0f85d500e0e18b685d9d77da83013623be4286a1eed336d406180904f13dcf79</t>
  </si>
  <si>
    <t>5e1159f916e08c734e70e4a6ab97fdaba494ba41f50ce4ec0de5d29ca9503721</t>
  </si>
  <si>
    <t>99bd4d78226cc5270cea20044e6871602b13a8a85cd16fa571d403002377775c</t>
  </si>
  <si>
    <t>2d862c947d7a853a5e527eedea30a18af0509a58b28b2fe8893e943f6e427f70</t>
  </si>
  <si>
    <t>a5ec60802f84a481517ba10dfad58cf73bd438de4b63b6e5629701ecb6b45047</t>
  </si>
  <si>
    <t>dfeb6fbe3858408b7ab147c18089d1656b2ae6a64606eecf83925db5e8227c25</t>
  </si>
  <si>
    <t>b9d5d995f2d9c9e27e9088a563f66d556d3a6ed13ad46a14a3985be4ac61c363</t>
  </si>
  <si>
    <t>cc45a9f9fbdca0788b2a6520031bcd950fca747256e951dced99e7c07b65a43a</t>
  </si>
  <si>
    <t>ce82fcc533cd9c09f33caab78f1ee275f420a4ea6d95601eea797f6de8118bfc</t>
  </si>
  <si>
    <t>CN Tiền Hải- Cty CP Đầu Tư Kinh Tế Hồng Hà</t>
  </si>
  <si>
    <t>ddc74722d6804b93ed825bfcda62adb573999c2470b9a2d60da0199fca22f955</t>
  </si>
  <si>
    <t>c98656fc41a207fdcdb12fd5d24d51862060030bc21739e45ad2914eafd4881f</t>
  </si>
  <si>
    <t>09544415860346bee16212f8ee9b5bfd2e4876f83616c9b7cff4246b9d8feb8f</t>
  </si>
  <si>
    <t>32babdb84f57eb48843b7100a9b657b432555aa0de75469eef283bf32bf1aa82</t>
  </si>
  <si>
    <t>9332baa16f543852ff7b15f8d3432217ff55d1bde3330bf83ab11e45d911e182</t>
  </si>
  <si>
    <t>CT TNHH XNK Sản Xuất Thương Mại Cơ Khí Hồng Nho</t>
  </si>
  <si>
    <t>5628ebdaf60000bb858e33e0d00704dfb97ab0f16df3027605aee8af64b6bf7e</t>
  </si>
  <si>
    <t>b5963f62cb5e6b6225fcfedebe78ae42dbbcf56ad703fbac6f9f85f3984b9bb6</t>
  </si>
  <si>
    <t>4cda3536469cf2b4092995bd441d4d130a3f0b89b97cbc0b268c1d98460408ff</t>
  </si>
  <si>
    <t>aa0102ca4ff43e7cb83271f43be7b967804d4629ba75fcf80729cb2e0c51948a</t>
  </si>
  <si>
    <t>27adae010d04bd3ae66924cbec7673753a4eed96de98aeb89c0c3f7575ba41ba</t>
  </si>
  <si>
    <t>2913d863445b8564f769acd9a71281041436677476d3a906fa15ae9b57961c3c</t>
  </si>
  <si>
    <t>082c53e4c06e29a02f60638dbfdedebd20c54b6710e35a4396cc47006e52eab3</t>
  </si>
  <si>
    <t>03324a5d2c8b2c99c94c6b44781b0f57ba91c92116e923bc8eb43e36d833b93c</t>
  </si>
  <si>
    <t>CT TNHH Thương Mại Trung Thịnh</t>
  </si>
  <si>
    <t>63bed959d741f20a844fa51336f0f41806d21ac05d8263b8ea01a02a4c1ef385</t>
  </si>
  <si>
    <t>89a0fdea288b2b8f839ac87e1fd669d698c16cbc6d78f877d496d93feeeeca73</t>
  </si>
  <si>
    <t>ce8d251f28144dde5899746dcd5353b1eb645838722beac269cb4a3fdfe21405</t>
  </si>
  <si>
    <t>e0e62f15937c518dd4041ccb59d61c1c84034be11bf049fab1ef98ce58577cea</t>
  </si>
  <si>
    <t>144e347a10f520bf43cbf01bbfbd408120178fb1ed25d034a55ad67e177deb7f</t>
  </si>
  <si>
    <t>85e10ccfc73dc96847582ed5a5496024e54f533f651682ebd9d534caa2941fd7</t>
  </si>
  <si>
    <t>d4dea542f087ba9267fd090dcdd5775209a4401208bc1a89a5f267f85c099560</t>
  </si>
  <si>
    <t>8b25ff10a339a0a7cfa12cd2c8437d222ad64125457c9191f2c74608b15f30f8</t>
  </si>
  <si>
    <t>a5eee69f607ac107998a82cb62b80cc1c06876d227e64d1aee67b7e93b50a44a</t>
  </si>
  <si>
    <t>Hợp Tác Xã Hợp Phát</t>
  </si>
  <si>
    <t>c85b8e4ca5f2a4f7ad84465b84eea4b54a7189b77a785914ca3e83485cf53317</t>
  </si>
  <si>
    <t>4039df6690ae4b7a7a4c6af20682322a5b0e04fa248641746805b0528dd769bc</t>
  </si>
  <si>
    <t>30912787a2a0d45a027f3038f8d4cd92c6c2754a6df4a359a91bb9f67c8a2d9d</t>
  </si>
  <si>
    <t>88542c7751fb55266075badf92c6fb3b6e977aa50f5152d4a889474ae9622a4c</t>
  </si>
  <si>
    <t>25407febc988bf2705de99db751eff7b12fda646837f04a364f4160223b5df31</t>
  </si>
  <si>
    <t>c507834a4b3b3faeac21e1554233128ee203a0caa18b1fe4b6a5de96d1870933</t>
  </si>
  <si>
    <t>24d35a28c997e646081e94df6c5c1bcd0c78682231acba805425f1b3f952d4cd</t>
  </si>
  <si>
    <t>d0c5d83b68410b0539286efc942af1cfa53afb42561b55993f4d3e0b314ee273</t>
  </si>
  <si>
    <t>CT TNHH Xây Dựng Và Thương Mại Thái Lương</t>
  </si>
  <si>
    <t>a57b4d30a54aaa370622e17620b87fe4eb64c4af2ab4d846201b20c53ef3e860</t>
  </si>
  <si>
    <t>34f58bef80d168c5de0ade999b0ff21b1f057da90e3b816db249eb7455e5e80f</t>
  </si>
  <si>
    <t>90bdca2602ff98acde3f51df44b359cb04fde742b3409f8ff66c06233b2e3b19</t>
  </si>
  <si>
    <t>e3844d858147555fc08976a5e3142f3a9212d9b68a1bfbd128143e16e2b7e28f</t>
  </si>
  <si>
    <t>046393c651386a6939d953b960e85918f3db1dde615dd88a0778df3e4de5f258</t>
  </si>
  <si>
    <t>a0b16377a6af35db00cb92ec311c8b28a2b2055e502dd2799efbc3ab86a31471</t>
  </si>
  <si>
    <t>430828e1646d25b663d1405fd05261480ff780c895ecfb070e727b4df25c7236</t>
  </si>
  <si>
    <t>dbdca5309ced46e80912b8417b288bd8bb2ba43fd5c05a3b501036258728401e</t>
  </si>
  <si>
    <t>ff680998d4189ec297d4ae16cc97457122b417c3ef81058bdb1a534b40824b94</t>
  </si>
  <si>
    <t>3df5c9a420fd154003f772d41e23458332454324907ce157dc316567b2470ee0</t>
  </si>
  <si>
    <t>3e889ce98355a1f05b1b285cfffd0f9385dc3218d8cd4d2d8672a597278e58ab</t>
  </si>
  <si>
    <t>f82acf1e92c6b4b12d160e939f58c3a9c01507f9001ec251e6845efb83964f8f</t>
  </si>
  <si>
    <t>7fee2603ca69059516a5ce1b3ab439d27709a52f93f525c2fa90de85b6414e0a</t>
  </si>
  <si>
    <t>6b7a73f13959337d9e4c53a5b4cf2ba1cdb39e070340e2e60363bb6328b23f9f</t>
  </si>
  <si>
    <t>f7c321a96fed12dc434d089bc85601081a395fdf08584211e2057abb579a4fbc</t>
  </si>
  <si>
    <t>012280742d688185a33c0e72011a7cfad9f7e6bd41e2e7b619675eead8840bf4</t>
  </si>
  <si>
    <t>b2abba8e27895522587c8cc7d9b10fbefba08772ecd0c8c7e347110da9379b91</t>
  </si>
  <si>
    <t>01498913358f9123b2277a999c9fc6c97ca90317cebf8613ccc45886fc3625c5</t>
  </si>
  <si>
    <t>5e6e6cda360a01ef8136c86c5244be6c1243e8fa5d01ed20631c3ba3ca0b11b3</t>
  </si>
  <si>
    <t>7423a46086438bc5ea6ad128e426409ef9442188b53c7e8b325fee2bb641e302</t>
  </si>
  <si>
    <t>6b91ea33009ff2aa3a876526db72ac5672cd48b0a08656d29ddbb91606fb50c3</t>
  </si>
  <si>
    <t>551c5422b0626a46242bbacd29f35481eee0c8de472a22a5a5827920d56666e9</t>
  </si>
  <si>
    <t>dbb1e6c7fa59d02b2029ec21b1764d85a6f0cae4931b8f68bf6d9e08e7afc435</t>
  </si>
  <si>
    <t>8fd38efff5372b2c73f78d0a39fa402d900b918eb9e2a568c99a647957be3c09</t>
  </si>
  <si>
    <t>51a3cc5e8e59456f25fe4a3fe0bae1366442d4cc14438c7cf710ce3a01fec468</t>
  </si>
  <si>
    <t>120c3a9d7fbc7a653af1648aad617405edb22b45b9104e842a3b9b85d231a9ff</t>
  </si>
  <si>
    <t>849689463f52788d7096d4c426e87a132feb7ce04661c6a01d690d824998264b</t>
  </si>
  <si>
    <t>55478a5d9be1cf700e4bc4d3eaed1725b99cdb274f3934f84c1adb7a6974eb3d</t>
  </si>
  <si>
    <t>20cfa951bc13c4ba2fd65925c3b920c351a3d847648ad906680f58895c2f9131</t>
  </si>
  <si>
    <t>d5e6d8c45a66bc4d99ec3f3b94e4feafc13a29366d5a141804fe53bf9d3d3b1f</t>
  </si>
  <si>
    <t>8429d9b1c20150d449a2694cc6a9c373f538b3369926b1e5e75b2b3043dd71f1</t>
  </si>
  <si>
    <t>db1a94950fe0af23840ebb8bf3d5149bd997bc75c0bf77538d2424a8a65510c5</t>
  </si>
  <si>
    <t>5a12d5dc9808c3c2f5250e60d8b9f17f62fd160148f1a43fb2607b5c426aecc0</t>
  </si>
  <si>
    <t>cd24d058d6ae0a0b6aea365d2207bc18704b00b90b1589ae46765214175b48ec</t>
  </si>
  <si>
    <t>631b11cbc64b5ff6284245e801bc70b14a908cdfc237529319b870af67e01ef6</t>
  </si>
  <si>
    <t>0a3e226f6556250690146d1e545004d780eb6c3dc44f1ba68037860e20f70099</t>
  </si>
  <si>
    <t>aa0f09509142cdc9579c489a8e89b394196b17eb9f8e2b1345f24e251d95677e</t>
  </si>
  <si>
    <t>aca558115126b60a305d270ea99d5cbcaae77163a3b3945975317d76c220018b</t>
  </si>
  <si>
    <t>e4857d64149194ef795fad7f6544974eaf10c8372f285e2e8ee58e62ce0d9866</t>
  </si>
  <si>
    <t>17806e671130ab1c28de06615c074becccac4e99fae5a6baf0ec70145971cbee</t>
  </si>
  <si>
    <t>2805480373496d33ba33d96f7732d6fdd18af39547e823bbbe3dcfe53c39ccae</t>
  </si>
  <si>
    <t>04799fd62cfa7508a4511e7dccb3f678991e08dc8c331ba7ca076a74fecab88c</t>
  </si>
  <si>
    <t>Hợp Tác Xã Dân Chủ</t>
  </si>
  <si>
    <t>809e536fad04d4f7e09e66d76732ba7224bd3a9e644107dded155025c6add0d1</t>
  </si>
  <si>
    <t>a7e771fef9bee0ad4d8d1d917712099a7678ec17ab5327402e37f9d1477b18e4</t>
  </si>
  <si>
    <t>65c8edfa49aa92a18c03e03b79a231d9ca3cffb2fcb757003bdd47be137a3211</t>
  </si>
  <si>
    <t>f486f56382c79b5ceef8455a9a47ff93c8fb3d2dbed400531de235b8feed5a18</t>
  </si>
  <si>
    <t>d39dbce0566d9e7fa4c4f500dee890e6256d3c2bfaa100c7bcb674a10ef202b2</t>
  </si>
  <si>
    <t>bf3bffa2d182061de43951cba9990689391e7452dda5c9abea8dd4ad82f50fa6</t>
  </si>
  <si>
    <t>fe8c9fcd427451bd32ebd8767fa3612e743be9b7e0a17b083e973eae56ef4a52</t>
  </si>
  <si>
    <t>f03555bdd20ef6ae8452eedd0045e31ac1d4894d67beb213fbba4c4ebfc4f921</t>
  </si>
  <si>
    <t>940d74b1c7109938018229f2c4939430c9d1c9cbb0ceec66fae097085fdbbaec</t>
  </si>
  <si>
    <t>868d3af346d3d2b733be3c806fd59b475bf0782d589664e352573a1dfc1f541b</t>
  </si>
  <si>
    <t>CT TNHH Công Nghiệp Kim Loại Tai Tong Việt Nam</t>
  </si>
  <si>
    <t>2e905fabc4348e03a757aef265ff8117f5a1343f69a1ebb61566c7d2e8d6192c</t>
  </si>
  <si>
    <t>CT CP Thương Mại Kim Khí Thành Công</t>
  </si>
  <si>
    <t>bccf18a3ee06438eae4d2e5128fd51b50ed92429c1bf86a6830dde2497f9489c</t>
  </si>
  <si>
    <t>b2238b4f749efee35b845d0fe6571b15dd3275b4bfbcab1d795b6d95da5f8d62</t>
  </si>
  <si>
    <t>9c0259dbb283e47451cbfe9e8fc6d6d201483a117a383d0dd615489ea886298d</t>
  </si>
  <si>
    <t>a2638515a57b02d93f393d6b6c7baee2138f14dd5a8a5f706b8510ad0a9f5fc7</t>
  </si>
  <si>
    <t>d3dd2b66f1c66011a16f142ed022439011b5f5ed3ccad337991f194a69c507e5</t>
  </si>
  <si>
    <t>b8d65a216e30b0762635ff4ee9e9720dbd96efeb9a252424d352ba08e99c6a3a</t>
  </si>
  <si>
    <t>a8197a0e5b1baea4bd709779b8dff0ced6a7ea61e97cb94f982022b3af7be218</t>
  </si>
  <si>
    <t>dd6da9658841ff88c4e2ebf07f11be7757ba61e097c7dc25881896efeb6c9722</t>
  </si>
  <si>
    <t>f05d9560888ae2bad405669ffd35de5d02fcbfa5ffd6d881a264154ace349a92</t>
  </si>
  <si>
    <t>f9a11d963b72a5e44f5a22740118870e5d7cf0913c84c743019d33ea63ae87f0</t>
  </si>
  <si>
    <t>0ab1a19455f03b1f32e1063d7ab22ca86c94ba5c93b9a97498f1a2204be74443</t>
  </si>
  <si>
    <t>8ea03b0bc69b4c608bb346c3dd95f491642cc69959ea9312b7d3d370044cfa5d</t>
  </si>
  <si>
    <t>a5ad135d16dbc4cd47e4c57da265f70f48f35c93b4ab507a28e29000ea594e54</t>
  </si>
  <si>
    <t>010ce4694c41066a58dd3b1dec4aa02b18286dcf796ab479fbd0e7f5afb55289</t>
  </si>
  <si>
    <t>d001079e1709b72fbb02db2d7965c1428cbe600b1a922b6a1eb98e765c2f3e68</t>
  </si>
  <si>
    <t>CT CP Nội Thất 190</t>
  </si>
  <si>
    <t>1cd752873c35db74620444be27acdfa48658776b8f0c040ddcf71cb016929054</t>
  </si>
  <si>
    <t>CT CP Nông Thủy Sản Đạt Doan</t>
  </si>
  <si>
    <t>299ace777fde9033c4fb6e89156b3bc847c505c61d74ca3a8e6824de5bac51fa</t>
  </si>
  <si>
    <t>49a4693c545c2acc1b79a9b4d2cf1af53d62576bc93d415db2fdaa9dbfbad1d0</t>
  </si>
  <si>
    <t>2979aa2589fc8b1e194b364c48ebd14ad165739b35c12b188aa6bf8145418e02</t>
  </si>
  <si>
    <t>e3d9b1916ce8f3351fe8d8d5c93ae8499cd655747d4ed96193046494c5d5ec11</t>
  </si>
  <si>
    <t>CT TNHH Thương Mại Kim Khí Trường Phát</t>
  </si>
  <si>
    <t>943eb62a0a603384cf73d65191f455646b4bcf22929596c21b76d75a3fc8eb2a</t>
  </si>
  <si>
    <t>ac2ee7fe2891d24f7a4585461fca2488de2ffd15e08336ff1e683b9711e0a002</t>
  </si>
  <si>
    <t>5e5dfcd3951bb50084ca57730ad7b2416fd7876d02303cba802afb114a8ea011</t>
  </si>
  <si>
    <t>882ab94e9f849bb4630805c884e2ccf3cb91033b5d5b5535a7a0ea4995df371d</t>
  </si>
  <si>
    <t>24151134498bb5ab5288d767d76e5769756b995dcb479b31e7459b0cf47cb028</t>
  </si>
  <si>
    <t>e2d929bb87167bd8b74607b2b2bee7d61cffe9b01e644615eb74a8560714f610</t>
  </si>
  <si>
    <t>6021651e81809065408b6d5af4b659e3136ce302d61670c0d81c371a4b045c42</t>
  </si>
  <si>
    <t>CT TNHH Cơ Khí Xây Dựng Và Đo Đạc Thiên Minh</t>
  </si>
  <si>
    <t>900f35a08028e0aae116c33ff6922cd052670fa1098c63a6fea9a4310356b1bb</t>
  </si>
  <si>
    <t>47aa895865c5e1470679bba0b956b95c8a018c3b91ec995148e18dd7b1cc9d1e</t>
  </si>
  <si>
    <t>b0d9d838bcf5bb4036fdb220453595f0be7446afba0471257c98d99a530a04d5</t>
  </si>
  <si>
    <t>0b5a8e6a9ac68e927f645420a8fefb2b9f1c722e13be89a3b5ddfa7477bee7d7</t>
  </si>
  <si>
    <t>972f574d5c47d79dfc2a3595916f3082f3ed6f9f1ce8bc77067cd4edeb9d747f</t>
  </si>
  <si>
    <t>0e732cdaba7761614ef4a1685293c453ba23874a9f30d9ae535397f30b2bcf5f</t>
  </si>
  <si>
    <t>63eeffa61e2d0e8699944324a8ba0ef4c3b1b4933a88a638d3beb32de6faad90</t>
  </si>
  <si>
    <t>939b1200da21957191f9cc5b099bd4086bdf4246a0255dacdf0a35d1d60efc8d</t>
  </si>
  <si>
    <t>a26bb932d751c45a78aaf404ffdfa5154297ef7f24f4b160bdd4e21d221d3802</t>
  </si>
  <si>
    <t>eb1d3c1f317d6b9e94574c5df1f3c3cf9b48900a1dd1c58f5f702a7c511750ca</t>
  </si>
  <si>
    <t>b95644fea0b735a1bdedb27bda7ce77bc762f7b8765e45af4e063f7eea7ba4df</t>
  </si>
  <si>
    <t>bf9f68e0ede9c9bf27902bf9fc7522ff10ac728758a731459a0a2c6763ebcecc</t>
  </si>
  <si>
    <t>ace510e4863bf184ffde85123d9fcc05f8af6c4c1f3ffdcf4337f5f4ff3b36ce</t>
  </si>
  <si>
    <t>575dfae75332b39298938005e9454d0ad621424dd80da9f98aa4152b213078b3</t>
  </si>
  <si>
    <t>0563ab022f6e88cb5e23eeab8a7bb8ec3ce0f19e50fb22c8250cd94f3a419875</t>
  </si>
  <si>
    <t>960824049e8e21f39cab594beb13151573e0156116ed5d6c13848dd24f7bb1d0</t>
  </si>
  <si>
    <t>8844ead2b7687765e8a38cc3a200e7e81da6b94160ecfde659aa020cadd7c850</t>
  </si>
  <si>
    <t>231b7099e807e47143f7b2160933831a7fa253ae8de5bd20b5c4fbdb9b6ad1d9</t>
  </si>
  <si>
    <t>2481627fad5abdabad89070693018d89bb51736f4f97b2d1401819e5c4a6f0da</t>
  </si>
  <si>
    <t>1d10b428594f15852c8a4abd5be3408fef197e5a2da10a5d6d7de1d6a18d6fbd</t>
  </si>
  <si>
    <t>16bed68df31409149d2c400e5826362f5506b8e49f5973a81f29d992c7ad0e06</t>
  </si>
  <si>
    <t>a6593e13db17c5a7f5fb9adbdb79c6e1d2c581b68850110cff7c760816d15677</t>
  </si>
  <si>
    <t>07ed589751447bd3aa2c98f8ca29b8a505918d3bf3d002bc5788a7c8c4acf3a9</t>
  </si>
  <si>
    <t>CT TNHH Sản Xuất Thương Mại Và Cơ Khí Khôi Long</t>
  </si>
  <si>
    <t>aac8901e588aeb81db543a07e080bf7d0fbf9d3fbc7174240adc3ede1bc1a46d</t>
  </si>
  <si>
    <t>bb9e9c3fc9a11994210b1378a01d55a651c9d527bc4082a173e88f7a49b9f84f</t>
  </si>
  <si>
    <t>37c6a0e39766c19dc811890fa63065f08b8a5507b1a434c8151dcd13d2029b5e</t>
  </si>
  <si>
    <t>d1ef39bf8eb898d0281405c90cbcb96f57ef38d4e8e5b772b8d8719bb148e5dd</t>
  </si>
  <si>
    <t>cfe467ac81fb7be3ebae88551f78f5c4ea40f66029e13b3c9f56464ae73ed1e4</t>
  </si>
  <si>
    <t>c35d04348bd15f9523c5d5c3731540aacec98c4253850b338219ea8b23929dc7</t>
  </si>
  <si>
    <t>1661cfd9195ad4d4d8c4b88335a1399915132cacfa6c89d7b133843a7f5ad3d5</t>
  </si>
  <si>
    <t>5733d3227e7221f3efa4b64bfbcc8f2f90e909463d55ad2ed72fdd5e0713dcce</t>
  </si>
  <si>
    <t>58b9646e2cc16c53539a14a3e3e7e4eb5e7680b168df3ee7f07add847171b593</t>
  </si>
  <si>
    <t>e33e403ba32012b9008504fbf409d5d8cb4fa584fc055bf93c62dc06cdea514c</t>
  </si>
  <si>
    <t>e9211c234c9b756ae4131f4b7c9d6e9470515f27d430c236fe90585d5e4ce504</t>
  </si>
  <si>
    <t>CT TNHH Cơ Khí Xây Dựng Và Thương Mại Minh Tuấn</t>
  </si>
  <si>
    <t>03eb7b9f9fc808e28ec2ad9363dfc5ce9a8e61b910b2a40dc69987f40123f4ca</t>
  </si>
  <si>
    <t>36f19d8ef0562b29a72c5b0e5808a27c46b1fb0e067f3da5f8196ea0420be57e</t>
  </si>
  <si>
    <t>CT TNHH Tổ Chức Sự Kiện, Quảng Cáo Và Truyền Thông Hong Kong</t>
  </si>
  <si>
    <t>e18733388adef91424f766eb9544e6ab227118de7a246207ae92b4b3d0ead54a</t>
  </si>
  <si>
    <t>1553f31b983aad8e472e877680e95d8e5fc525162df2b9ffbb95ef2a8fef14c3</t>
  </si>
  <si>
    <t>abdd474be16fa622117243ee42646d66c56f7e41b1a00787c5b55fa7bd60cfc5</t>
  </si>
  <si>
    <t>ca1c60f961eb77620118d60b36a170edd679696a04a642c2a22620d1c7122e45</t>
  </si>
  <si>
    <t>59da7d2a5d4c9c9d0eb7a21fc814ca3a2a469bc720132e35951e0296af65b6d8</t>
  </si>
  <si>
    <t>199824535482665449365a2d47fe6ecf24be11bf2742f4379010ccd7f6f70573</t>
  </si>
  <si>
    <t>1f7ac6589a6ef1283bbb57bd307e14fa45a51816cc560f7f91e3fa738c74da28</t>
  </si>
  <si>
    <t>e20604a7420dc1b4290b5ee773da83e97b590f3c4a4e70fc9546362e3458389c</t>
  </si>
  <si>
    <t>273d8a91c9b13edab29031837d790bb0207130fb319fb48d2bc5d63e56fffa37</t>
  </si>
  <si>
    <t>f932b003962d7b8ddb699decddcb77e96cd1320a3765f83e33e94088c2214dd9</t>
  </si>
  <si>
    <t>17f6954c534a989b4b7e50e49c5de12a71ae1c69179da8fb3ba86f21dff139b8</t>
  </si>
  <si>
    <t>e63510545a1299107418311917ca7ab12264818a8d244bd04d367bcc79fc6794</t>
  </si>
  <si>
    <t>ef5714b562ac2aabd9943824b22f02d2490bd7eddaa0eeefedb987d736ca53d3</t>
  </si>
  <si>
    <t>ab2a497e6c43547f57753d84e723f64a7dae38982b498651a383598fbf3035f2</t>
  </si>
  <si>
    <t>e7d7c7402b96645f29a43f23efc60e6117bfb91281ad17e590969046d9846d3c</t>
  </si>
  <si>
    <t>Khúc Ngọc Đạt</t>
  </si>
  <si>
    <t>312ad72a2a5153241d1ff70c15934dd964a9aabc26f050944a51042ccbfad490</t>
  </si>
  <si>
    <t>f9ad95df12fca032c26bd06ebaa0dd50a40d1d9a320d8d5843544dd02d01b8c1</t>
  </si>
  <si>
    <t>5cc085f59c7fab40dcc5ac39d531abd3f314f849c3f5976dc08c8acec82d1b98</t>
  </si>
  <si>
    <t>fe88d89c7bb739d818760a18ad3520b338757b010647a2905486e6060a8e8a72</t>
  </si>
  <si>
    <t>201035d61c3773e7f303f24943d025d60f753395cb551c179a29584d5717ecbe</t>
  </si>
  <si>
    <t>241f9f5527b9d67185f0a4b67b9dc6d9e7de5e836c59c356ae1b8c864eef9c7c</t>
  </si>
  <si>
    <t>9f4834f6e988600efd96472c066c9f412245f34e24ee1e783d071352d1cfd350</t>
  </si>
  <si>
    <t>05e8525727a4fa7e825274f99b630851ef328ae81c525de4a189e14d4864196c</t>
  </si>
  <si>
    <t>a985b3d72ac8086f480c38d19f098a7f427378d4e6a52084a0e9f9fbb9bf8e0d</t>
  </si>
  <si>
    <t>b63ec161feba562f83d093fe6b2cc30ccccb3f3e895846a9f4b9804e7854c0d1</t>
  </si>
  <si>
    <t>acac5246bc442f51d5e1923240f4c106616bc0e3a216cac1d2f8fea241fe47c7</t>
  </si>
  <si>
    <t>c9655650da779abbcc7c1c4674eb96e2f6cc264e292a74e26b5e97155277b5fa</t>
  </si>
  <si>
    <t>CT TNHH Thép Hoàng Đào</t>
  </si>
  <si>
    <t>9b4c1ab408269599c44918332fd141a9be8858d65a0d902f8007992075cc8b0b</t>
  </si>
  <si>
    <t>5af25de79b4fd12e3a0eb7668413f982e0f1bad4365e1803c3399892b7880402</t>
  </si>
  <si>
    <t>422099d9a9b98e8b0513703d2bed4d92789fde9bea3013a452d3cb1607b803d1</t>
  </si>
  <si>
    <t>0e3f813ccee810c218e8e87d0887b3be1a234aed8060a947b3261436d4b553f8</t>
  </si>
  <si>
    <t>a8f6a71a10b2132bfdfe99aafbf50e542aa423345c35fa2895d61dabe89ba2de</t>
  </si>
  <si>
    <t>67e30e6d13eae89aae8bfe09b81f2f44a890864587c42a5f3a83f2c5d51201da</t>
  </si>
  <si>
    <t>c0e8526959e021becfb34b0ca3c8cfb2a712438a0907f8b988e86e8aa151d040</t>
  </si>
  <si>
    <t>185e2d220a7e19392d1731ff00649f5d8e0d29245eeded540414d5e76dcf6c29</t>
  </si>
  <si>
    <t>6e3d1682b8279fbb516635eeab6ddc9d8d3badc2b2d91fafe1b3b4f9fc6fe191</t>
  </si>
  <si>
    <t>d02f529ce03e763966ab64d9f8eb49be44d70f3052fa627518f2c27768666afd</t>
  </si>
  <si>
    <t>CT CP Vật Liệu Xây Dựng Thụy Việt</t>
  </si>
  <si>
    <t>69d473f6772b8c19ba105480c1ae82819266e757bebf9e200cd0a0d2f283388a</t>
  </si>
  <si>
    <t>d176a3cbac143bb3003c32dce89ab0e2fcabff34ee67473215a0b24afaac080c</t>
  </si>
  <si>
    <t>aab57cca8c7a13a668d19c52bf23fd922dd23e1bb4a10e6a03c1ffd1ae28e2fb</t>
  </si>
  <si>
    <t>a4ef855690536dec4fd1626731617fb7e4bd20ad18ada18c74cb22b1918d2000</t>
  </si>
  <si>
    <t>5ad4e68a12ffb0a9529a406f612e600f0f4436f9311f29b9d66eda5889990ef3</t>
  </si>
  <si>
    <t>756b708ebad174db96a9888974e023c2245b005ee50733a7498b80f54dc833be</t>
  </si>
  <si>
    <t>66adfbac39a5d343041174b685a2fdd27b79f96b4b8fff4b578cce107cec8af8</t>
  </si>
  <si>
    <t>6d5ac2ed274f24f8e4951292ca280af45f8e781f2da7f54c625696245ddc1ea0</t>
  </si>
  <si>
    <t>408b315f274800ca145ebe4620931c6e24c0e31de049520fa385f7d291be3a95</t>
  </si>
  <si>
    <t>faf673f0335f52a7e207dc95714fbac07371a77a68cb0f281bb06f27065c9845</t>
  </si>
  <si>
    <t>a937a12c03700bd8ce6f09806b07fa0d355a039bad469729d9b15787bc1092d4</t>
  </si>
  <si>
    <t>72e7ca32a8a1e0b65621566e4e994e529d86185d1f13ee01b50b403b05fc1fcc</t>
  </si>
  <si>
    <t>59bc722da832111be69d45733f65651a3b6c1bec4bcf45c47233597b6113f1bf</t>
  </si>
  <si>
    <t>db795dea0bb5ddd1605717b2f595c245abbcdd1f308723bb36dac6585d84a0ad</t>
  </si>
  <si>
    <t>3bcaceba73056cfba324c512fb0bec83de44471f3b2ac273af30339227fa9398</t>
  </si>
  <si>
    <t>4e90245105bc85ca5e54840d3fe89b23968f0c6dc74895e1cde91972420e04c1</t>
  </si>
  <si>
    <t>e47ef9824f530a9dc7cf893c84e660f1124de3656f3ecd50dbcf2a6473a3650a</t>
  </si>
  <si>
    <t>19cdb39b4e602da1d92f7c1c3d29ea6e13ee3eaa67fddf8e415893f35f9aa374</t>
  </si>
  <si>
    <t>0f50c9cf8a279a7cedb40dbac78aac228d77fbc895c36988ae487f3bdfc00475</t>
  </si>
  <si>
    <t>557cd448d5f43f5f68b382e4d6ab4eb92ba6c0f98db1c17137f5c8907e942da5</t>
  </si>
  <si>
    <t>0e16b098f676cbd0c454aff44995aaf7af2371b752e0f6bb9c8ec50a41bc27fc</t>
  </si>
  <si>
    <t>220f79e6ecf2eff05897f5046d996110b933b1f2c6a50667d6fc33bf867d74a4</t>
  </si>
  <si>
    <t>0af351dd1806daf915cca893432ac14f482f6b7f4091f50d064823a60a7ec30e</t>
  </si>
  <si>
    <t>6a5ec5ecebcf0add2b633d62ff407fb7664f5779b7f29958aabca70cee54c12e</t>
  </si>
  <si>
    <t>eaea0a40df39bb4ebd660d353e6f1880888de819363ac311c4d73fc235ece463</t>
  </si>
  <si>
    <t>24a568d7ffb2b143e6aa10d14ad50c152df0e174cc96b3756cab08ed75d0799d</t>
  </si>
  <si>
    <t>8bed73da045ec61857425047c960e020033c35d5dc1893f72d7ea66145653c10</t>
  </si>
  <si>
    <t>a755a6923d8f7198b545fe59cb9910e54339b649b9c61a4088a844d56f08122b</t>
  </si>
  <si>
    <t>a980bdc508a33c6af77fa84f8a138c6d680dde293ccf00c1125c558a081d7e43</t>
  </si>
  <si>
    <t>bc280c7e1a7dfc6b2fe483e8a3b1eb1a3a5e7210ffca1baa4a776ac4fda82ec7</t>
  </si>
  <si>
    <t>e6476cf07cd59a79c194a0009835f234943b97eb2ef40ffb87a0ffd2f177d5d5</t>
  </si>
  <si>
    <t>211b156d967870e7539d945d34cd4367adaa87798e018874808663fd25300621</t>
  </si>
  <si>
    <t>c22d41193bc3c1000a05f670d5f2bd7540f6f0df960ef612a279049c8164ccdd</t>
  </si>
  <si>
    <t>41265de446fbe98954a8cf9fc25c134714082acd275565f622c6d03db260af44</t>
  </si>
  <si>
    <t>1ad37aa6292186dec721ca1b3243a9c9aaa869868845cc45abaa5857e6a44448</t>
  </si>
  <si>
    <t>ceec1587fa4c1a77818a7794de832ec9b386a086e0db9e0fbb5b096ed492a8ae</t>
  </si>
  <si>
    <t>cff49c271fadfc21dfbdad653da05f0efebc3d18647ae763c303400259652392</t>
  </si>
  <si>
    <t>b29af3ef3e356ddf868b4d4e70ed1d76b9d23a7c4ae637a0bfd5d0e9235cc554</t>
  </si>
  <si>
    <t>388213f95306c62c524668c93ac83a007bd098d222c7a9575a48d8df948e9194</t>
  </si>
  <si>
    <t>10d0fb0e7f95520321d2755f8a1d8a096f7e964625e0a1bc70493802023f5604</t>
  </si>
  <si>
    <t>67edc7b9b1dd7ad99f5c96c850275f18955428590ca670e46309a03986ebde27</t>
  </si>
  <si>
    <t>da1fa5dc9cf75220da7165af038bf3c57436abdfe89e18291bd8543ab6c83a81</t>
  </si>
  <si>
    <t>20f5640be8a1038a192bbc3fe205d8031c173b30a9d8122d9b3dd27270b827d8</t>
  </si>
  <si>
    <t>a39d87a287403bddda3db9ea1a8a895f942d6e2b830a242fe39cc75e8311d3d5</t>
  </si>
  <si>
    <t>530920d6e68bf4e1ce2402f17c7d2606cdec62676c28ba0d0df5ffd31a3027b7</t>
  </si>
  <si>
    <t>925405dd74caec016b40da644d2622e3697a6bc920e0cb3bc5c2282bd3ab65d9</t>
  </si>
  <si>
    <t>12df639fdfb093d517f4aa1b7611b0e494d235e078e308c6227070e2f570b4ff</t>
  </si>
  <si>
    <t>c7a712985459721cdb616a9e925b9213e2bba5a05cdd5e9ab75997b1fa54e036</t>
  </si>
  <si>
    <t>1eb328199c9dcd609f8f3e17da13c9c7f3e52a15ccb30eef96d765f35dac35da</t>
  </si>
  <si>
    <t>eed05e5c55a0de490098730761dbd3c5999da9e8b074747cb454e32a036daa10</t>
  </si>
  <si>
    <t>806a295ebe2dc3bcdcffca9a6797e0c03894cadde4eb700417383f86c99cbf39</t>
  </si>
  <si>
    <t>254f869865d8c44fd593b9f9dd7ce09342e2f17e2d6149b75e6796b5a35d9b1a</t>
  </si>
  <si>
    <t>CT CP Sản Xuất Và Xây Dựng Thép Việt</t>
  </si>
  <si>
    <t>88886552f1bd579616d2e04d684703fc0ea36faed066fd8611ff4f6e2120092e</t>
  </si>
  <si>
    <t>CN CT TNHH Đtxd Và Thương Mại Phương Anh</t>
  </si>
  <si>
    <t>05353826db35844bb95227512a3f30c1986b00fd828011b584a9b69779e34441</t>
  </si>
  <si>
    <t>feb40cca8508f01d3a864a27f1c0bd117d669e746804ea696c7063b84848eb2d</t>
  </si>
  <si>
    <t>2dacc4555a362103abd66f999f75dde404ddbf2e26561d767510feca71cce706</t>
  </si>
  <si>
    <t>f29c41017964ee1e88ff571e104f909ecfd6f450159c155377683a7129bd1f34</t>
  </si>
  <si>
    <t>dd4c397887deab4068b32408d6ae032a7a91554f09d0b740433177af62308509</t>
  </si>
  <si>
    <t>1e78430db72eedd34bd7ec4c1829ec5ed90a6271a072d7a63f8f6f1e094a78f9</t>
  </si>
  <si>
    <t>CT TNHH Thép Thái Phong</t>
  </si>
  <si>
    <t>e2a95b3d7f1c3bf2801eb05439d3feb3bf06d04e3c36d81e5b90678a351872f8</t>
  </si>
  <si>
    <t>e1cdcba00b043708f946b3901dc1a3bc2472e712ff125904d695bf28051dd7fe</t>
  </si>
  <si>
    <t>668d578c1058a2cc2b7f0b1bce1df5908fdf80cd45139a7654d2ff5deafbc007</t>
  </si>
  <si>
    <t>f26d49051c2a6ad34617156cd60523d13294136adac6efc258a84e17a1be1741</t>
  </si>
  <si>
    <t>5b25d09f577d869a4a768a2f45c83ae944eb797d0cdc108e21832728cb0ba54e</t>
  </si>
  <si>
    <t>71439dce9b063ccbb2661e9831928f81ed4b1b3b11ac07fe99e108ca2ffb9de6</t>
  </si>
  <si>
    <t>44e8cadb90bf08e9f493c91e872dbe5ee5fd4d812b25661af11fc2f388d2333c</t>
  </si>
  <si>
    <t>656c099e969d6d3f27cfca164c3a772ddfb7004c74ad8750c49053aefefd0fd2</t>
  </si>
  <si>
    <t>fd817aaa4b60ce284597f79543dec1f1ee638288e957ad816e1e294c81d54327</t>
  </si>
  <si>
    <t>CT TNHH Quang Hưng</t>
  </si>
  <si>
    <t>e60c5571f6292cb8da1478caa82c86910453b2f799009290f1bbb56629e245f4</t>
  </si>
  <si>
    <t>50a5001cfb497b87138af59523d93cd9efb519fbcc316bfdb9ad8226dad7894c</t>
  </si>
  <si>
    <t>c64b6622cc5570c5388f4de86859d99116767dfa93db3ae079ce1a8cb9bd13ff</t>
  </si>
  <si>
    <t>b60038d71bc113ad977c9b64ba940c15b18ff98106b7027f679d55bc1579ad04</t>
  </si>
  <si>
    <t>0371165721edfda59607f1d767bba7f5cf71d4fe06be25a7d499464b0d604efe</t>
  </si>
  <si>
    <t>e7b9048aca14c2bb46453999593376280716d9ee2d397fc741c99b31a8e2dd45</t>
  </si>
  <si>
    <t>30e41f463a8e952083f8ed64c7396a398c7f5a68bbbfd56f01f4568e6d353895</t>
  </si>
  <si>
    <t>a8bca3e497ab83b682342d7f7d169703790e6c44c00edbdf40d3fab1529d592a</t>
  </si>
  <si>
    <t>05304715cb20c69840f409f5c823c7aa3eb3bc99f8a4ec7d4321b5980db8f410</t>
  </si>
  <si>
    <t>93c92299f0843f44e2addcfaf139f3129908fcc14e39583d0bd94fcd7b26f3cd</t>
  </si>
  <si>
    <t>9d59e5d833a937ac1c50c1d65a1a27a660b216e8369bbb9a0b7effd7b9313393</t>
  </si>
  <si>
    <t>a0ecb3495122f14031d2aed2dab2e03e356dd1f22ab64c15ef51714ea5cd3692</t>
  </si>
  <si>
    <t>51fa56675c5ab328fbdc7c294c0de71032a5e84d6986e76432161bf92a72eae1</t>
  </si>
  <si>
    <t>93e6b536b0ca13947b422359437b372fdcf9f8218771e63db52681a9bd3c4496</t>
  </si>
  <si>
    <t>58db412d67afa65765f8253a24bc91438a44f1b6a86f4e64f3290daccb474337</t>
  </si>
  <si>
    <t>8d75def915c3002ec8355489f02074b65fad16f047bde51158f790d77e4ccbcb</t>
  </si>
  <si>
    <t>1ad062169d0ad8be310c101c7249f4eae274401deab97ce4d0f9aab677ac1189</t>
  </si>
  <si>
    <t>CT CP Đầu Tư Phát Triển Long Thái</t>
  </si>
  <si>
    <t>56c22f7bd862305e83a2182ad0683abdbf1e2363de13fcd7101859a899f48bfe</t>
  </si>
  <si>
    <t>98418739dc5e55a86514b76a62497f7de3dbce64f942240b2e978bc604592c3b</t>
  </si>
  <si>
    <t>99b8b844591c90302bb71658fcdb0a3083d7890bbd314a80a4e44e9abe744ea7</t>
  </si>
  <si>
    <t>e2fddcb836fc591919485197d7b6a78ec79814cc368211a829c69ba642b33950</t>
  </si>
  <si>
    <t>57a1b0b386e32441d2bd2ddc139e38f7eb38c371a58789122ef685453851a356</t>
  </si>
  <si>
    <t>50211e29552ee03a25722cd1e14f0c881a2cb16f1921b1f378f0c412f6301da2</t>
  </si>
  <si>
    <t>415f489f01461d3f36a44f0b86e3a827dbef8fa1767e0101358c250bca8d7a74</t>
  </si>
  <si>
    <t>47249504dc03b52d7c158ba1a01bf8f8730fdecafef8785fce0f2f216342b0ce</t>
  </si>
  <si>
    <t>f1b04125d976454bee6266815c9363b6953661f55d78e7cec3146a9d52f57801</t>
  </si>
  <si>
    <t>6df3efe5258f584c17062b81bbdce0ce4a93f417025e0c3982589161ffc57ac9</t>
  </si>
  <si>
    <t>50c98c413673dce3c6918e484a17d88926773d98bbbd1120c4b55bd0d0a39239</t>
  </si>
  <si>
    <t>a4837e9b0a13036eff341b67715d57f57021330dba242e40dc332dfa76900192</t>
  </si>
  <si>
    <t>9b2763c75eb63e1b0e97363b57eee9c1ad9aa1e81a75d4b11476201be3f1e924</t>
  </si>
  <si>
    <t>539fb10f2037239f66c22687b32ca636296750ea89b5d0b2c35bbb0cdca23e44</t>
  </si>
  <si>
    <t>dc8e173108fcc8d045d61bd2bd99b44160567b4f9b44739ba7efd05cb9cd6f8d</t>
  </si>
  <si>
    <t>b374ea3b2b7bea5ba79b575ed614e7b2052a29bae24dc1a774e2bebbf54f7a68</t>
  </si>
  <si>
    <t>fb3040f9e0dd2fc56a990a4f24f2c836b7ea8ec0aa527f3885857466fa8f4954</t>
  </si>
  <si>
    <t>7ba22aad4b4d83361176eb1724598353a6f881cbcc6ba1edc5ea779ffb6fb2b8</t>
  </si>
  <si>
    <t>55c0d58b2c90d3d5d7680bb1cd3e4a6295c655c45c9d2b1737e828e489eb0d90</t>
  </si>
  <si>
    <t>ab90e5e88a7f84f775e7d6bc9392a8f81e1c8a85edaeac6c1b28ab5dde6c4634</t>
  </si>
  <si>
    <t>fa1071858a4a3f09375c7524f490bfc580c76166460e682d852fdb8c7b5ac150</t>
  </si>
  <si>
    <t>a53d249b4c354ce60e17bd9a60be10eb4207d04f1ede53235e201157888d0f91</t>
  </si>
  <si>
    <t>3e2adcbc82dc51bf6d6cd745610b937c358f242df562cd89ddd4c954fa3874f0</t>
  </si>
  <si>
    <t>e91cc5a4c0e00aa598d68c25bd0e88dc0b9e2a4289eadf7fd05d62f58ddb23bf</t>
  </si>
  <si>
    <t>2a3791774499315da57aa18de3a8508b58f3e51392b59fd53e79882b5b63cfd7</t>
  </si>
  <si>
    <t>3d1d4eccd1ed44437d6d8ff1f781e5698737724c1bab79bb847ebf5b588ff306</t>
  </si>
  <si>
    <t>06b0f2d26dcae9df12f57aa75a3dd67df551b53124c0ccba9cbf505d7a682eb1</t>
  </si>
  <si>
    <t>96153546c20e78aea61f5fa5dc556733d4925d5eafd15b356a97546b0138ae3f</t>
  </si>
  <si>
    <t>0245e8497d2051741b632ae8253cbbd65f01ae135c5c550f2e5992c106ff40b9</t>
  </si>
  <si>
    <t>CT TNHH Lắp Máy Vạn Xuân</t>
  </si>
  <si>
    <t>638a95604bbb2aaf53125f8cf642ba3a6d6fd9962fd8854ed74b5fac77ab8044</t>
  </si>
  <si>
    <t>153455684b216e0880c03719bf66cdd707320f45b1e8fd95c913d2f676166645</t>
  </si>
  <si>
    <t>489145a24ea8299574fec1621212108823495c20fee2a7e44307c362d028ab76</t>
  </si>
  <si>
    <t>9385f95bc10a47ad83d671a5a5c9d93f2d1dd2b442399bf288e09d8dde063ae6</t>
  </si>
  <si>
    <t>721ce66551fab7f209828cfbcd7ecf00bcb3b326b99fbb53d44935d1034237f1</t>
  </si>
  <si>
    <t>7d26cf2b7b887aec711d37581ca80dffa96f238ea213a2787058724fe53f6a58</t>
  </si>
  <si>
    <t>23f775c05fd5e7198bf090ab18efec7eb34cb80d7f44aba64cc2c3006f4b502e</t>
  </si>
  <si>
    <t>de126699b5cbf27e088357d87329fc22d2dc03f7cb7a6bbd45381fb6abaa95a3</t>
  </si>
  <si>
    <t>6e5e191bca08576a98a886be629237b1678aa62f2cd6c3d38425263830c1192e</t>
  </si>
  <si>
    <t>21c17c2c47bc5ac11f71726ffe2aeedb2f12a46985c6b6e1c5117a95d6befa40</t>
  </si>
  <si>
    <t>7403b9409c0656e6373a922d35f43e594ea59b6c96ad219a1554447bc4f09aa9</t>
  </si>
  <si>
    <t>011986c49c93f9a894ea9c61915d78ba297e9bd714ac0e1b612b1cfd40dee151</t>
  </si>
  <si>
    <t>635ce61aca10fd5f008d487873de06a324c33a7a009da95bd456c2e883baea06</t>
  </si>
  <si>
    <t>cc9546472033ae3c23c718ca78a2e24dd8f929b4247fd780df1c55a973972cff</t>
  </si>
  <si>
    <t>71d593de2293d4583b17672430ad26c4d02a40454bc8d2b8b54a2259586218ee</t>
  </si>
  <si>
    <t>b5965ade0199b1737dc5c6f64e2d3682d711feaa106f84b0bc7ec0a598c19760</t>
  </si>
  <si>
    <t>746fe652d5103c8d61ee35f0c49673facc84b017cbcf280dbb3885128589a519</t>
  </si>
  <si>
    <t>38fef90587987f0bc5a42f34fbb2c3b9514ed8c41cfbd721a994468fbe7b35d5</t>
  </si>
  <si>
    <t>6e410c155df5141eea10968e01b26640d214a5dbe809dc8f88919ab505cf66cb</t>
  </si>
  <si>
    <t>6f2966c4b6f3048d60d69388b290fb1be6d21a4c176ffc8f49926f84d5022c16</t>
  </si>
  <si>
    <t>5704112c59382caf9464b4ceaf6af9a440c21090bbfbb11181cc82c168905707</t>
  </si>
  <si>
    <t>c2c184e3ad3a909cb957486854578aa703a45a6663fa71fae570ddffd50ebcb6</t>
  </si>
  <si>
    <t>e66699bfe38abc8330e5fda4d09df540d9e59b87843af91dbb4582e6e0a32e0a</t>
  </si>
  <si>
    <t>53019dff82c30c6f318dc259e1fc1e69a723d0aac5c857dbf485d4210801de67</t>
  </si>
  <si>
    <t>88e90615493422d1d42aa64e1901233242ff39ec14ebf30355dca346bb97e917</t>
  </si>
  <si>
    <t>e28a4e85093d9227d309e9733b2b85c191256cb51fa16bb2633e9690383ada1e</t>
  </si>
  <si>
    <t>4a7e7ece2948df6a782e6036ef71757be1d6b4514b683bbf1c5ec69cca21bb0d</t>
  </si>
  <si>
    <t>438c542f4cd36a189d64917285414eeecc9173948b618d4db7423cbfdb74e86a</t>
  </si>
  <si>
    <t>d2244e9d658c29a091c7a1e7a6cb288a6dc8035d40e72f57648466a129bf0ddc</t>
  </si>
  <si>
    <t>4e7705a58c0a29eea9f41c8fddf03fe45d0f71b35dee15c54bff9a8366d33230</t>
  </si>
  <si>
    <t>ea5b381de1e9d75c1efd3f3f44f47d62078ac4b9b0523cef229c4193f7a5c18e</t>
  </si>
  <si>
    <t>fbf1faf0433ef77903db4379c5da7da6465aeef4b791b84a27f06255cd790797</t>
  </si>
  <si>
    <t>45206100abc33c64f8a4aba6a9acd83d68c29ee016df4a1380f3cb0381d510e0</t>
  </si>
  <si>
    <t>9cb75116d4a807976610d9490a176a0eb68f21ce7e67bfd392e314c702ba560b</t>
  </si>
  <si>
    <t>9dc0879ddef2de74577d4fc04208a07987d851b881c9060f3648d22c4c06af70</t>
  </si>
  <si>
    <t>2d8c090bc5632c49886a95b8344d07897e93941b63d4d707a8c91452a6b107be</t>
  </si>
  <si>
    <t>501fa3ccff898fec798805c15c18814cd3ca125355db8f4df0f73a8c21c3e343</t>
  </si>
  <si>
    <t>dd8b02005b6e20df8fc282c3bb480ed2a2e4e2a9a72e91002d111d42cf9d7ac5</t>
  </si>
  <si>
    <t>16d1f140ec7807aec7c01a8034da0da8a79b5572ae9d643d90bea4966787e8b2</t>
  </si>
  <si>
    <t>b99124c0368ce48a1bb8d07fadcaf60dc76fbb8ad70cccce00e0890d9dd125d4</t>
  </si>
  <si>
    <t>b8cd17b86c2be659f73df9c4cb01ca5efa63f125cf5c944259b8c246c34248a6</t>
  </si>
  <si>
    <t>5bd7b5a1e34509d13d1c73885ab3feb5786d5738f32e7cf3eff8de4f2f8d20b2</t>
  </si>
  <si>
    <t>437428339e0ee87565c5f2eb965476b651833f488a06a7222c76afdc29e8c4b6</t>
  </si>
  <si>
    <t>18267a89c49f5a3ea40c5f6ba7e8dfa46613f4d9ffa7c35b9c745881035c77c2</t>
  </si>
  <si>
    <t>28fe0922a7ce2e1ced2c62d0a280de4b036c445a5d154de5cb4d5244d4b8e873</t>
  </si>
  <si>
    <t>d1b613c3be2f732a4f798a5a7a5eb977b197fcf6f77e45d8bdb8afa43490d110</t>
  </si>
  <si>
    <t>83e2447c8f5bebb4ab9e5da2bed31fda4d5839995cfbde786d70470ba4bbc52c</t>
  </si>
  <si>
    <t>815276a28ab26e184a2e2d80c6fab1747abc86a0efbc13a84eb6a02a46f29ed9</t>
  </si>
  <si>
    <t>24af88277312465a2de49e5f8ff0f8f24dc89c5aef4c8c3d314b07c36a083ce6</t>
  </si>
  <si>
    <t>4f46c8bd2dbc164f72874a2040eb8843e8b8ecf6ad441b38d2fcce547f5602e3</t>
  </si>
  <si>
    <t>8f4909c118d31503754ded541b80f7a61aa2a0ab2d3c455b16b6f2de7caff05b</t>
  </si>
  <si>
    <t>01375a6ffa22492ac0c6559ba31f4bd108764fc627c76f9f985613d7ca5e79ab</t>
  </si>
  <si>
    <t>cbd97f998faf52e086f8c5f0e4c54f55a4e9b02e51fa134da9b8e42785427e25</t>
  </si>
  <si>
    <t>f5ac83835d463968eeff1ee996eea92cc9838adc16cfead0f0dc508e5ea67052</t>
  </si>
  <si>
    <t>0e49785fd156e9f146c361cac1b99a8db031bd738a752a386ce976bdc9a29063</t>
  </si>
  <si>
    <t>316b3b476f713a09c73ca5aa94a7bc196b0ba03d493ca6983ce87c3741ee5753</t>
  </si>
  <si>
    <t>f5ffafc84602ac5bb97df534eceaebbcdb87145c546ee6a646adb6c62d402f13</t>
  </si>
  <si>
    <t>1aafbedc0da1a80e3deb714d56193c7d5503e7b8bec7ac75cc8885aef89c9f45</t>
  </si>
  <si>
    <t>31706958abfc0de31e6d0c1a216af666a32d90e174aa70a0c32c1ac3f5195dc2</t>
  </si>
  <si>
    <t>fb3d214841c5314b5e3cf5437f271c43e3bb7ce7126d00f1a0af6dc5533b161f</t>
  </si>
  <si>
    <t>e42698b9658b50d75523ad3baa12d45c72abbdab2951758e454af4add14c9fe8</t>
  </si>
  <si>
    <t>1e2fddb5d3f7dbd994e9b8ec8296877d4f61ab10a839e73958327969aac86aa1</t>
  </si>
  <si>
    <t>031e01f51a3ef1d286672341d84e9f6e05210a6aea5c759b0f60ebada59710e8</t>
  </si>
  <si>
    <t>CT TNHH TMDV Hữu Lộc</t>
  </si>
  <si>
    <t>08de7f9c2f574d128030f6fbe5803ab4f920d9131840e5ab9db5bc9237e1b964</t>
  </si>
  <si>
    <t>a60e533e53e3308662210b5091dd165c271ee229fd7a89175cd834d5387c94ff</t>
  </si>
  <si>
    <t>bcb81c8b26fef53bd17619acd93b28d7c5481d21030c22e97aa320999887bffc</t>
  </si>
  <si>
    <t>31686d9b24e2ed07a785c9697087394e184dc5e7ac1f182b9145c2a395f1726b</t>
  </si>
  <si>
    <t>b1ed5bf591c013b9dea1bd636b1bbefc43caa49e716969832c272a7cf2817f75</t>
  </si>
  <si>
    <t>dd0dcf36eed9fdb65df38b5a3f5c42638227b807822c15ace8bfb3d69de64d07</t>
  </si>
  <si>
    <t>83419f437a1f0792e1f79f7c512fb7a1a80ae0b17c35dfd7be62cfccc3d21873</t>
  </si>
  <si>
    <t>b07e21ecfb3d895de4662540c10af2e1dc21a4fae32ec198e28c83b150d7f8d1</t>
  </si>
  <si>
    <t>c4ed1d1da31987c7b18318bece727010039fbfe17b9b97fc006810e732f481d3</t>
  </si>
  <si>
    <t>96cb7911c5128b18782191c62f6010c4303c58b4f43e7349381e06d428dd55ba</t>
  </si>
  <si>
    <t>920c30624385b492c08fe1ea1e14b3bec2383dd05aaaefd89dbf930797e994e2</t>
  </si>
  <si>
    <t>f8b60fe03922664b0a65ee181c588073f615b6ebed03c6405f1daf639def0340</t>
  </si>
  <si>
    <t>47c9e3341d208743520e8f10cafe868174e49d668c67afc14427b5a37577021d</t>
  </si>
  <si>
    <t>15b7ff86f4e181e0a4b3875ee945ab825b252ccbb1b62baefc1d1397d1099125</t>
  </si>
  <si>
    <t>35b664562db8aa782263ebb8a8a5778753ab271c30801e3a1633b2c523b48649</t>
  </si>
  <si>
    <t>ec4f940e314f2c52f746128807b6463c788ab9f24f6ce9cf51cd2fa32a7bb226</t>
  </si>
  <si>
    <t>67759b529bde702cb6fe53bec2134d10973a7492f9b322987558155eb32cf12d</t>
  </si>
  <si>
    <t>8f52bbfc4e7175fe9a0ff4451081c542500593789629ce267f52f633aee5177b</t>
  </si>
  <si>
    <t>67640137e3e99627137904960c22889d2da2a27daf57caca4775961642b7c3a6</t>
  </si>
  <si>
    <t>76f105c21de3d7dd691916d9f536f1065235a78338e15e562407e91968c042d4</t>
  </si>
  <si>
    <t>733700e49208e1db249a7bcd1dc080fd81993d4294d03eb971ec9b847bd7b6b1</t>
  </si>
  <si>
    <t>8e00dd3d223c32fb3edc323fc2affc234f51f4bbe1e65a4d038c39790b6412c0</t>
  </si>
  <si>
    <t>2401ff8142790bc81b018b895823721a9d5ab346a058c9bbeb99258c04137e45</t>
  </si>
  <si>
    <t>Doanh Nghiệp Tư Nhân Cơ Khí Công Nghiệp Minh Mai</t>
  </si>
  <si>
    <t>43d0e30f4216535a2bd9ab618f9b7c659df35d43c3506a450c107001eceb02bf</t>
  </si>
  <si>
    <t>48896e30ff6c71c8251cb88e5bfc5973817b28955d68f4ea34f24dc1f80252c7</t>
  </si>
  <si>
    <t>CT CP Lắp Máy Xây Dựng Và Thương Mại Hữu Phát</t>
  </si>
  <si>
    <t>a68f0f01628a3d5b07b4c111b767630e1f376e7a90e956a76ebfc8e0a3eba94f</t>
  </si>
  <si>
    <t>f5c1a30398bd33ec1f803084bf67c7f9445c500ebf2c169b52f6eff5369c1158</t>
  </si>
  <si>
    <t>e98650b00fa9e3c30526385b62d96df82fa00c7e0a0a871c35ffdc80ad29693d</t>
  </si>
  <si>
    <t>CT TNHH Dệt May Hưng Thịnh</t>
  </si>
  <si>
    <t>3bb4fde8dffa1b349927fa7fc6c6f30a5abac2865e8c2691ef73f75c9e60696c</t>
  </si>
  <si>
    <t>eeb520723fc7d596d4d1e282cf8244b681e006c6a00cb3755624562f70b54664</t>
  </si>
  <si>
    <t>b3ccc12b05fe26dd02481ef5ec798ddb2e85b246bae2fe4a748f97fe31dd3709</t>
  </si>
  <si>
    <t>ae4f65aecd62542b39eee40f6cb73ae21236e5f15330b262e84c6c84ac11c889</t>
  </si>
  <si>
    <t>f6e6f6d078612f5062ded5588431952a8aad68a0ef8ca5d4a812d80ade77eb13</t>
  </si>
  <si>
    <t>09dae69b10a79525851cb61b3db28f01e7d859ccb713e003b5e12717e21ce81a</t>
  </si>
  <si>
    <t>899de7566c7cc7e51507820ab8c62da52125d7735110759a13d12b006b2550de</t>
  </si>
  <si>
    <t>700f73cca115133fe372a28f40b451ffe7bdeb168e8b295a79e80bfeea5fb425</t>
  </si>
  <si>
    <t>CT TNHH Thương Mại Và Thiết Bị Tiến Dũng</t>
  </si>
  <si>
    <t>eb40aaf34037bbd4a81eb8098e6cbdb1fe8b5c6b8fe3d1d5b4a3d23d4427ff8b</t>
  </si>
  <si>
    <t>19f6792d7ccca149a562db34b3eba6b460ea2387bb1b44222545ddb07281549c</t>
  </si>
  <si>
    <t>02493e817b545328608b8854ebbcf2c350ba0f22533b09df66ea127eebd0ee48</t>
  </si>
  <si>
    <t>CT TNHH May Xuất Khẩu Đông Thọ</t>
  </si>
  <si>
    <t>2c57cea2ba0705e486e0fa9749ce1c58ba8c587c1ff721e8874da8ca17078eec</t>
  </si>
  <si>
    <t>214c0fcc6b85b3e221a596265448705e86c565990a1390469d21c6c05366f67a</t>
  </si>
  <si>
    <t>CT TNHH Xây Dựng Đông Bắc</t>
  </si>
  <si>
    <t>67ae600ab44757f8c442dd66aaf0a9f405dec5d91ef40e0936dcf4098e69dcea</t>
  </si>
  <si>
    <t>4d0b8c22b9be9eed781ccc854335cb806809d07384acf42afd78b5fa28d0ea42</t>
  </si>
  <si>
    <t>29c297e4602e8bf6184018acdde7a820853ddf1e913e4fc049fffc2711959443</t>
  </si>
  <si>
    <t>ba78d12a4ccf5f18f7942752f52fa5e819c1c92c5e53297d29b5fece3afe6a0f</t>
  </si>
  <si>
    <t>d5a24ebbdde30e8053c180efbfec7c97ee4d8daace62f4ad72ae730bc4655d3f</t>
  </si>
  <si>
    <t>2435d2edc45a82e115d23f395755b017c56fc0c4b1e1aa782414b8c1a647941a</t>
  </si>
  <si>
    <t>36abb9e07a9721a79f1e95faf7c04dd6f84f3098c1e3d324006e540d0358458c</t>
  </si>
  <si>
    <t>87bcc0100a8dd07241fd3479b786b8aecde6630234f969da74dc93f0ea4e078a</t>
  </si>
  <si>
    <t>73468c62ecf169fe8053bd171f2a8b240cb07ec6019324aa53e8c0d48da10d3e</t>
  </si>
  <si>
    <t>CT CP Xây Dựng Và Sản Xuất Kansai Vina</t>
  </si>
  <si>
    <t>3acf1a7b95944fdbe441dbb4decf7860eccfad559c6f7f8bed15353227f257a9</t>
  </si>
  <si>
    <t>bf3e186eec26fb0eb5bd9114d0cfa489243edb405e94d8f83114c291569cd984</t>
  </si>
  <si>
    <t>c51654d64177d513fb0796ca7ad68a92a9018e6d30e6698a888537ea3f20783f</t>
  </si>
  <si>
    <t>1eb0cb5ee1f142738d92069c8ee3bc8305afda5a95a9045976c564cec9e7921b</t>
  </si>
  <si>
    <t>24de6e1c39b02c0372e0e4c073840706169ba0593bb098100c26b8a1224f5018</t>
  </si>
  <si>
    <t>dbecb8a73ee7a101a731530728ad716fa0b3df130f3b5a72bb57cc1e91e0faf2</t>
  </si>
  <si>
    <t>de8f152c62e4b36911aac41244cc131927e651cd400789d599f7bdc27639022e</t>
  </si>
  <si>
    <t>2c958cf1e35f9231aadba138dc0f7428421657a4a8db5b8404afe21cfc43897d</t>
  </si>
  <si>
    <t>CT TNHH Thương Mại Và Dịch Vụ Tuấn Long</t>
  </si>
  <si>
    <t>b7fa0e4b8c56546e3fb1b4dcd52a13128dfe3fa7201e775163151600f51bb4c3</t>
  </si>
  <si>
    <t>fd867f839d7c66b9cf32b5f31b4d60a612314fe8ed68822f9359b9c6db520cfa</t>
  </si>
  <si>
    <t>7aa4c298e91cd8829baa6215d10731be0623bc892d6dceebf67c2c49b7733967</t>
  </si>
  <si>
    <t>71ad01d808a63d802887564214b629eacc94d99b8cb5abac596cb472f4d2c138</t>
  </si>
  <si>
    <t>f931628028e7528e23e288c6b9f5744bd26f0cea320e61d6cfcba9b39d67c81e</t>
  </si>
  <si>
    <t>480e4227adaff79ab553ffbf3fc9a01e4e31e77b4cd3d11f4e9b294ef8c38f46</t>
  </si>
  <si>
    <t>07424abf3bcebd2882d89ad750b21c2d9ca93c752aa91fc592c79b4c7af2298d</t>
  </si>
  <si>
    <t>0c785394cb5dfbfdf5fcc6ebef96d07615c445ad28c700c56d9e95d09fbaeec8</t>
  </si>
  <si>
    <t>b3904faca6e318cdadac8eeb56f2f64431983025a6d2a1cd81f5358f40ab23d8</t>
  </si>
  <si>
    <t>7e5f2c3a0b0aaa7cbda93f2263ea7de191ce9fdd69299c327e71dfa0bedeac4e</t>
  </si>
  <si>
    <t>c5b15c903e2c2fc682b9763ad9a9ecd98e0fe335fbc1a447642aed2907d87088</t>
  </si>
  <si>
    <t>0d4c5a0b0b48166f992d09f66a3f11bf09cfc63f0cd9c97d28ff34b0f9d598ec</t>
  </si>
  <si>
    <t>c4763a9783d7ba22eda51db32961a03e4a5a40c85691e7cc981f32451b405499</t>
  </si>
  <si>
    <t>49071636b783fbb96bccca27e3781483b7b384cf9fbec4f0edf3abea70815483</t>
  </si>
  <si>
    <t>2901ebc0673d067bc2022b61719313a0ecd1df577d449cb131e1e7414375dce0</t>
  </si>
  <si>
    <t>bef321b4958fb2be6b51b03e9e1fc18ebe22744f498e854cb0ce705b31868b4c</t>
  </si>
  <si>
    <t>3dd7441e2aa3a502ee3408e056876f84735f4132adb6e4aef74a2bc8be64dce0</t>
  </si>
  <si>
    <t>0d4740ec2e3f88c9844be92e05523bdc06323e17a10e6b8cc3cbfd1b041a2758</t>
  </si>
  <si>
    <t>df08a9525063aff118cd2be67a5ed33a38b44022e13cb00e287950a41e3b8032</t>
  </si>
  <si>
    <t>6b34d88fceda6eab583517f034c504af2bc6ca6464835109d9a0804c75fd6a6e</t>
  </si>
  <si>
    <t>616ce529b81cf508cd1151c82e71458836097a574081583984240dec4e9a4f74</t>
  </si>
  <si>
    <t>637711aa0347b4e38e3ce6421e135a7fdb12b0f33e5b72590ddb12f7c2543657</t>
  </si>
  <si>
    <t>38613c1344297aa780121985d28ae9693dc49c000c91e00ab6e062269c35e3b4</t>
  </si>
  <si>
    <t>2f23543d86bddc86b0ce8277e70fa17d0cb4aa538925f5628396fdf533989cdd</t>
  </si>
  <si>
    <t>1c47c760bd8f1d6259917d759f62d5d7c98a0e5bf4f2274cb1312dfd4123c84e</t>
  </si>
  <si>
    <t>3965c41561fcb7018c2978ecb2e059b3338587aeef0190d95b293b5f6826cdd2</t>
  </si>
  <si>
    <t>caadcfa09e7bf8e92bde7458ef6c4d65bf06ebdf17a22f886843aa374928a95c</t>
  </si>
  <si>
    <t>9278b335eb9facdbba42840b3aa62bbd6b4548f6a83e3ce4fba387f2ca3eb67b</t>
  </si>
  <si>
    <t>0180d58430ebcca36228a2cb300507019d7d4ea1a423ebee57c893c6610cadd9</t>
  </si>
  <si>
    <t>462ed79f9c58bf5898b68f23a7ad80061a8c5580bafb3644cff436462dbf1f70</t>
  </si>
  <si>
    <t>ac08f01a47bccf0ede1fc961eeb6602cc659bb848e9858f29704aa213cc2dd52</t>
  </si>
  <si>
    <t>96ffdd18975de4fb587fbbd87167627be31ca4b7d0dc7abeda9966de2f553633</t>
  </si>
  <si>
    <t>8761f76a127f099b07c244f7401cb28cc61fc44dee5d8224415d7c293626b17b</t>
  </si>
  <si>
    <t>83faa58901d69934ef123e0135253cf977a20541000f64df3eb0de955cf808e9</t>
  </si>
  <si>
    <t>82c2a25e52e141291d4fd59f7e86e823a9d2ba5c5b2c203fa683829fb07b5359</t>
  </si>
  <si>
    <t>4eb1c9fd5e733ff2254681ce6265783df02d0f85678d707dc5b33c5a5f2d036a</t>
  </si>
  <si>
    <t>660b9674a8ba6025d082b1b16b4eb24ef8094b08ef20ea5461a0e873e29ddaf1</t>
  </si>
  <si>
    <t>a168265b571ed53506cd14c83464b2cdc83b534d94db63de5b258ca25ddc81b9</t>
  </si>
  <si>
    <t>e56c5020bb84d262daa5515e3f79a116f6a05bb003d4d4b03c5284a3ef004427</t>
  </si>
  <si>
    <t>269c4a464c2e0aa9d4d7d76f7d2bcd6202fa87e8b9cc306f72729668fdc71c75</t>
  </si>
  <si>
    <t>CT TNHH Đầu Tư Thương Mại Và Dịch Vụ Sơn Nam</t>
  </si>
  <si>
    <t>3ec6dc94d2abd96d4e33c2c7c89fcaa2ad0da8c81c96ef4f2f70f885118670f6</t>
  </si>
  <si>
    <t>2324ccbcaa01be39e0fdc828cec94c536a4ab10c441669e98db12dd143a751ba</t>
  </si>
  <si>
    <t>1c35551abc382dfa8105e641a0aaf1faf86116a7fa9102b1d009ffe0cd0b34d1</t>
  </si>
  <si>
    <t>0bcf624def8e2e6a3d380bb17d546bd258c000ef839b372935ebadf823f4b932</t>
  </si>
  <si>
    <t>8ffb83d493170be7db346c3c3e880ac725071ea6ec9a1c6cb6e27f97969f7016</t>
  </si>
  <si>
    <t>ab4d079a4b6a5c332301a31fceb1eeb1c580d2e09855fc0a0c3efeac997b9850</t>
  </si>
  <si>
    <t>9683e2760b9dd9526dc01632285f5ff66980886934a99df950ac1acc33b9e978</t>
  </si>
  <si>
    <t>2720a6842294a557c7aa6586b69c258f8bb15be7d5a668d7f27024df67a6262b</t>
  </si>
  <si>
    <t>56130952dd6278e5b836fcf96b18ac593e9d862b62c970bd2ebbdfc356a104a8</t>
  </si>
  <si>
    <t>b2a121a9685f4b8b5383fa9109093f068d19f81b2033e78dfc8a3d90cdd79a20</t>
  </si>
  <si>
    <t>1499ec3869f2f4d12d36e3252c6a524b4da725d3eba83323c0604646edb55b1d</t>
  </si>
  <si>
    <t>e828b2f9f961a5a8fead89854174572f5a0ae5a4b73fc77292a4ccf3f828f1bf</t>
  </si>
  <si>
    <t>2da5aeeca774aa53fd032fc15c5082d87e700885f0645d2302038472dc8bcf6e</t>
  </si>
  <si>
    <t>b487c91790beea26a6fcb3eb719f2291d8efe0a757e592f7882d9a1d448c07ba</t>
  </si>
  <si>
    <t>95c1268584113e01ff80161a347aa0f90ac18b0bd7ab79ba601e1b0ac36499ab</t>
  </si>
  <si>
    <t>145a93f65ef3c1aefd69d8d5e8deea7e71b13a2d3684f3a6159a151261136145</t>
  </si>
  <si>
    <t>03c5a48c2d6863471aa6eba13e885c2d4f154e2f4f0d913688c095e0a1a79c44</t>
  </si>
  <si>
    <t>c7db24f664d72496b6553d32abdb7651cffe420eb71d42387d8b8e9534f45c7f</t>
  </si>
  <si>
    <t>9337a8afaf5a86f3aee69fe2cdbc7785201d86d7a39e147d1dba613c384495fe</t>
  </si>
  <si>
    <t>5ae58cf74b1d1504e4cc3a09181244167fab6bbe45dc925f88333ba6b07f4c04</t>
  </si>
  <si>
    <t>71c53a5c7d231ac1a084cbe73acd83d91b6b3020c2c1ec4c4fddc964aab7eac1</t>
  </si>
  <si>
    <t>43ec92b12c04fcc2752643a14a607731ae54cb53159bc1c6a28887c08884a3cc</t>
  </si>
  <si>
    <t>bde85682b6d9f93b744248887a2f71194451ed3fb706d412d1dd7967f508e424</t>
  </si>
  <si>
    <t>d09de60498b8c9e40529e5076d1ffaa64826d4a0d804f6cb35098b30de75cca1</t>
  </si>
  <si>
    <t>ac39c542b84f1c6bc800f14f867ded31e82b80286b64a87e129297210dfe04de</t>
  </si>
  <si>
    <t>a19a5604823a9d4138a1500a35d5f475dfe6a407a844f98d5187325f39ddc43e</t>
  </si>
  <si>
    <t>aac6caa22cac2975e2f309245347ac14d865cecb2767c3dbbdb4c27019917c82</t>
  </si>
  <si>
    <t>a2b838a28d7eb2a7667ce6d5e4bbd4be9710f259e3de3e9e05b783205b9c4c0e</t>
  </si>
  <si>
    <t>a13738f63d5e70da232d3f350dae590923fc6a2d6560a11afba7774fa62e220a</t>
  </si>
  <si>
    <t>c81ba5e5e72443ed9e4f12bf0e9be2fe2bf3217d3f427e163a3bab45cd479aa1</t>
  </si>
  <si>
    <t>480ab189b110d4d2bc18ca99886187b828a311a8a9d8c568f314b6a1c7aa235b</t>
  </si>
  <si>
    <t>c05960ea5a08d0fabb85d21ba9514c2490ff1f8835efdfb186d4350812632a3c</t>
  </si>
  <si>
    <t>82766719a7ca3cd19283afe30207cd8677eebad750b6ff9cac5bbd130cfcdd14</t>
  </si>
  <si>
    <t>CT TNHH Dược Phẩm Và Thương Mại Phúc Lâm</t>
  </si>
  <si>
    <t>e250363ec9d289f37ac325633920159b5490790275fd4184f65ccbe1f904aaac</t>
  </si>
  <si>
    <t>a7a373cbcb27de8748389e4fd1b78a6a6676a938f73cae61c9bbba887771fadf</t>
  </si>
  <si>
    <t>8f9d5baf5bf6e168de416749c2905caaa39af342da67c197c959f11d75f4a350</t>
  </si>
  <si>
    <t>ada4c184b469f9631483220eceec1aec034030f9fffdad90b91d29154c86ac28</t>
  </si>
  <si>
    <t>b78b3d74a7fbb753849ed65667a3d40679c87a34d3ea3e8dbf381368dc094e23</t>
  </si>
  <si>
    <t>286241b5cdd37e7516ec4bdf804b3c1ac828024e054089700f11a65c93931cd5</t>
  </si>
  <si>
    <t>f03addc3f3cc211c1c6ccfa3dcf7f05ea909432c9e6e9b43d96cf35676b35243</t>
  </si>
  <si>
    <t>883e67e14f0991bb0ad47d799300ec4013afb0fb3683e5332b2d790469b4a9db</t>
  </si>
  <si>
    <t>c720b1e1cc78ba2fc079e0a68bdb10ed678ec6415160c6ce39ff4a1ca5b14459</t>
  </si>
  <si>
    <t>1ecf3141c5c169f37661a8e00203353660e67e19939718d9a78c9db216394aa3</t>
  </si>
  <si>
    <t>5c15345d9560e5342b0535e8a609be3ffc4224ebac7b924262baf6292f7794a2</t>
  </si>
  <si>
    <t>9eca538ce9a337eccc3448c46b9b501bc8aeac246cabcad52eb272e2aacb9b04</t>
  </si>
  <si>
    <t>581a1f29050800a77f9fadf638fd89b32899283956091bb464ecc261e9ca82e1</t>
  </si>
  <si>
    <t>0a3efb8f6dbdbfb50cc7736fdc471e0f0abaf4d00cf627355cc21fca7e111e97</t>
  </si>
  <si>
    <t>8bd612db63f521b88d33be7043ae4c37c0c41c29376cbba0c12071bce5ccd4cc</t>
  </si>
  <si>
    <t>a51fb4fa397f29f01ebe17947dfb9fb1864c00970d98de8a4acc19e543227fb2</t>
  </si>
  <si>
    <t>abee9a529ff6756ef4157678724638b596359e72232d31c85a8921f8db886c46</t>
  </si>
  <si>
    <t>c7d4924ab2de7a902475528c24bcb1cc2a1ce53876304141f93fe162052ed15f</t>
  </si>
  <si>
    <t>ef4fb870e3479a029b044e9f6735c2d7d28e99a2f075b1b8ad98e3bcbeb753bc</t>
  </si>
  <si>
    <t>ca5296a352ce41acbf9664fdec9cfb6f0ac170c6fee8dc3745bf5625089919ed</t>
  </si>
  <si>
    <t>55a057f070dc8ab8ee50d461b0fafb4bf184be36b9ca01acb84ce4287b6c0853</t>
  </si>
  <si>
    <t>88247488aa6be2a274fb64edcb096c1d2d6ee982dad3fc67ff1c60c7e8518a5b</t>
  </si>
  <si>
    <t>CT TNHH MTV Thương Mại Kim Khí Tuấn Anh</t>
  </si>
  <si>
    <t>dc1fe9c90cd87c4ed0ff0cdc8c6e1b5c2a9ffe4047bebaaf81635ca504266072</t>
  </si>
  <si>
    <t>321a5d41cbcb4a81099509944fefcf530145b5c946495c0fb908062ef521789a</t>
  </si>
  <si>
    <t>f53af43014388be36c3e7d586d656a9cd1e79158b2c035e8c73e5756ee80f9c9</t>
  </si>
  <si>
    <t>0362049a90b4aa04ebb9818a76b9a7a079d447d3928726415c7b0aeceb2c7ffe</t>
  </si>
  <si>
    <t>9d3a303ce3b8206955d5ef54dbd68413c3c701d1b0cd03a62e828f27aaa36a91</t>
  </si>
  <si>
    <t>184ba30dce8c2c13b89e2b196519a6fa3ebc1ce0c8f32d602c10b74e2258fd56</t>
  </si>
  <si>
    <t>6be50408bc19212d9f4f935e997712f42ddb9d0d61629aa13940f0dd2c0e8880</t>
  </si>
  <si>
    <t>3236257225d6b332a76207aeb52e5cbb2f9aed8037c5ea63bd252e390cca09b7</t>
  </si>
  <si>
    <t>7175d0fd6c3e4267c8a9ca8506a44c3cc9ded8ae4f28b7940bb0b0e9b40f2e32</t>
  </si>
  <si>
    <t>3dc9761a0e83688aa126bfde8b90084dc931e25e642ebc6bf304c16c4d479841</t>
  </si>
  <si>
    <t>ddbf0b0c3866cbb193b9027714ac9da97ad214e7feeb87b183bfdc9aa8dfafe3</t>
  </si>
  <si>
    <t>27038b4999035a96d1d2346e325316314eca8287f487af29f0b11db19b90574f</t>
  </si>
  <si>
    <t>737d76b8fb1f83fc35258635f79c1990c4b1839f34836710d114d0e49e80126e</t>
  </si>
  <si>
    <t>3545a0758ca27456912c93ffc858142e2ce9e1523e0db33d80fbd2f313cd1bb8</t>
  </si>
  <si>
    <t>1d8f74fccf51acbb46b256aa3b2cc20a94d08d94b64b94655eb3d24b4b6877a6</t>
  </si>
  <si>
    <t>3cbcea2ee153bd32b1b0c5a52124fff26d5175d27b0eb767dfc40078b6c5e180</t>
  </si>
  <si>
    <t>fea0337f931555e19a8812e4853824915ca6304f3d8b053a49b4a660edc13272</t>
  </si>
  <si>
    <t>8ec2becf609e40b33a0d4dd960a395ac900b2d98b20aa95f7a58dda1fdb4e368</t>
  </si>
  <si>
    <t>99829eadbb2740328d49ea244062218b7169f0dd64260fd897d29ef496e173d7</t>
  </si>
  <si>
    <t>7a6abd4a61385f595f5947672babf4fb33bd6262f56cdaef6afd0d7fa5a4ab25</t>
  </si>
  <si>
    <t>ea5444fe2ae5741c9dc04ec9d9b6300577860caad2a565823e0c3a66b9d1d17b</t>
  </si>
  <si>
    <t>0988ad7c2d1cff5d5294408f9bda6be76666871804600e9487437a6acb459c3d</t>
  </si>
  <si>
    <t>757eb9f01a5222316a30060d4c62547808bc5b322ffce7f47bf495cfb1e76939</t>
  </si>
  <si>
    <t>CT TNHH Xây Dựng Trường Tú</t>
  </si>
  <si>
    <t>44651918fa8c67c868887b8b9de8b5e20044a74a11d79a5e28a720f1bf3eaa6a</t>
  </si>
  <si>
    <t>8c52dd9f08ea2e8380f8da7264f8222d21def3ebe04ade0e32ae537a568dc2cd</t>
  </si>
  <si>
    <t>9670b0c654df302d400afd20175728d5f01febfc6d306582be8bd9d56c20b2a9</t>
  </si>
  <si>
    <t>0d2086177e1e4ae725cce6a659b309077516717285ffd24e3a4bc33cdd04465a</t>
  </si>
  <si>
    <t>ed896e051511ad66d014f8b7dd33b1965dd7fb76d142f91d82d81ca6126511bc</t>
  </si>
  <si>
    <t>ec1fa15401648545620fc998bfca6ed092d283f765b290299b24dfd2fed26203</t>
  </si>
  <si>
    <t>7fa698198436ba4f453cf769692093bc533b89c2729ff5c97c829b825388bab7</t>
  </si>
  <si>
    <t>55dbd7bb558dc04e93183532552185586a15c13934effb937332757a061629a8</t>
  </si>
  <si>
    <t>a8f7b93c3dce8837f6cb68b8be2238e8ba78c283cc6218b3b7ae0f5b26aea414</t>
  </si>
  <si>
    <t>e7237bda58117f716a9f72c1d4995296db61414b38583a6ff8a07673afddbfe9</t>
  </si>
  <si>
    <t>CT CP Gốm Sứ Thái Bình</t>
  </si>
  <si>
    <t>e65858ae281680ed11e758b4e152ac217a98aecb8ca3f9cec18e5588fb71d01a</t>
  </si>
  <si>
    <t>CT TNHH Thép Huyền Linh</t>
  </si>
  <si>
    <t>90c5d5ec7b6860e8356c06032cac82cad1905b52128cf849f4da996baaf3baa1</t>
  </si>
  <si>
    <t>d4336c798c9dc351affe6148d6acc9e1b55226eebefde79801c3b91c496ab5b6</t>
  </si>
  <si>
    <t>4b2e6d4a2a0bafac59d64fe1aa6bfeeebbcd9a01b8475412fc0e5b28e49f1ac9</t>
  </si>
  <si>
    <t>693c41869a2fc366c7af1341c8a28f6a28ecd2093ad1cd13eefd27ff96b78bd6</t>
  </si>
  <si>
    <t>Trường Mầm Non Tiền Phong</t>
  </si>
  <si>
    <t>c342626de34d3465d8e762268140abda357f74ac6978fa970cc0ada51b5fc865</t>
  </si>
  <si>
    <t>e336f75a9b93187bc6bd7407b140b5c944638e9d3617e9e86994f6ad60af4bce</t>
  </si>
  <si>
    <t>bac22cb4f6faf7cf9d7ca20017b2455585f20ad4e516ea82a753656f16226429</t>
  </si>
  <si>
    <t>b8021260e12deabf22c125cdeb38a243eb8bdc8a2047650bb486068da503e10c</t>
  </si>
  <si>
    <t>23f526c0192480ab5a73bce52dc2bf11dfc205218e0b34bacb5217c97ef5d29b</t>
  </si>
  <si>
    <t>3899ff711e54bea76026cfc78ef83209351ba336017b5eb26706ff36d3d40240</t>
  </si>
  <si>
    <t>ab8938e37116f6ca2f0b782ec63a2fbe2c13a89d4e05654350f04ec7fe08fcb7</t>
  </si>
  <si>
    <t>ab1ec3f8fd7d8237ec6ff20655721d62eb8052a17b0a2f1c7b0a3e626a84a0fe</t>
  </si>
  <si>
    <t>4acd6d44610e8d0d3308dbdf322366d628cb4fee5e737287c4fdde0b9881f4fa</t>
  </si>
  <si>
    <t>7ef14d3c9c290351ffb7730ae03e7381f0fe28e7a361cc4e55c5bcca770d831f</t>
  </si>
  <si>
    <t>0f02aff8b566513cd5e1f13e92d96876dadf7eee9129d63a7645c1abc94c4e7c</t>
  </si>
  <si>
    <t>00f4ac12a25bb5b96bcbbf4c631bb36e1f0e56f2adbd1014a1f76fab6e07c8e4</t>
  </si>
  <si>
    <t>05ee14c187a2cc0b93fbb35b9f8754501647413a92851481b1197b048fa3e806</t>
  </si>
  <si>
    <t>2e6353ca51f19ea25eab290530c4470ef08ea894696d35254b6e4615f5038821</t>
  </si>
  <si>
    <t>4d80316e58ae150fc01ebdf52ea6bff7c10fc159923a654e678f3bd4af6826c9</t>
  </si>
  <si>
    <t>d87f2fe3bf1be6e6cbfb0e2e26728e404b4299f08c8675e1ae0a23328074e24f</t>
  </si>
  <si>
    <t>b8f3f13425c6307b28eab36bf1f7b38b119b61ef065b38d8f42abecf1ad33fc6</t>
  </si>
  <si>
    <t>7c669f622d19d3aa0e2207f15c3e1a957963dfb7e8f563563287a3ca551a0ef1</t>
  </si>
  <si>
    <t>9f84b712f55d894f1f62821be23d304660c6930e444beb748f9629b610431af7</t>
  </si>
  <si>
    <t>d133bae732d319feef266e1d7f7a4877d4426fcf2f7a3f2beca83a8ac2dfd311</t>
  </si>
  <si>
    <t>cde8845a06515d191eb2da603a6c295ede69eef8924a52e1de51e8b0ab572773</t>
  </si>
  <si>
    <t>0d5ad264afffba8a8ad14e69203b130d02f33a4ea3e227b268e5ec827e21e00b</t>
  </si>
  <si>
    <t>71ddd8a57a168caca142e50ffd408791f94c08d6e3801a6555a2852098c543c8</t>
  </si>
  <si>
    <t>7a2698ef644da3463e88bdcf582b078176c9ff2b614382e9ef9f1168308328b5</t>
  </si>
  <si>
    <t>06fd186d4e647e26a66605ef1d07442a8f273a09ee8729844fa59c666c010fdb</t>
  </si>
  <si>
    <t>01dc3aa4f1746e9ee5ab7986ee6873d63afbaac040cf2d2780da5dde1747ae70</t>
  </si>
  <si>
    <t>8138106df9786b68424ee13fb81fca3087caf26a674ace72e028566e44b8890f</t>
  </si>
  <si>
    <t>f47e2ac4f625f56aa81613ae8870b3b2cb0620963499dccc55e1f5181f1aa04b</t>
  </si>
  <si>
    <t>063fe5f5c04f0aa92ae1adbf9f447235a59ac6b64120071e80e73eff501d5fc7</t>
  </si>
  <si>
    <t>ec0a72ca4a2d6ba496280916a33fb1d53c5d17d3075e93a44acdda9a1931a806</t>
  </si>
  <si>
    <t>8875028500ff352b60eec6b00eed49d0d157d9d3407332c7f401bc46b5f13342</t>
  </si>
  <si>
    <t>654585dd9ca14d21884665be1ac798fe42c92a6b4b5574c2901071a443b34888</t>
  </si>
  <si>
    <t>8f461ec94c79f0049830f955de274684089a59537a84668769d8638c620eb6f8</t>
  </si>
  <si>
    <t>619d20310a0699ab74b0af96ef61d6d59d3fa6ed60a4fef3cad7b53b52507a49</t>
  </si>
  <si>
    <t>b8bb2c5d5a534a0331c3ef61368462538694e654b3bda6399eb09099f3e39f2e</t>
  </si>
  <si>
    <t>9cc2e00806611175b16ddf918c4aa545a8344eded4654c47355403db15a89c71</t>
  </si>
  <si>
    <t>aa93124a047d576475dd7be8223b22cf275baff755bee036cde1e4b2d9ff636e</t>
  </si>
  <si>
    <t>b9671bd7b5b0af06a60c79f3f7002f545a3e4ba61c50bf6beb59208b5abed46e</t>
  </si>
  <si>
    <t>7257f6e20dc914cec5334d852878f8a94b09cdbce17c6a18f5343c6cf053e8e3</t>
  </si>
  <si>
    <t>bd70400e6643099acafacd46ac98666ec8e754990471aefa89ef51e8eb20e702</t>
  </si>
  <si>
    <t>6e875c72d24bdf2be0448eca3d817e25b0bf40581beb8c763e1ce61a82453533</t>
  </si>
  <si>
    <t>e0b1e98dac873dc8b7505fff6c09f9a719970762358d5f4b3b2c0be9179f50f4</t>
  </si>
  <si>
    <t>15a011ea04a2921119739421f4dd1909bcb2270e1e67637acebdb7c53a295028</t>
  </si>
  <si>
    <t>49be5da36371159d361c5b5006861415d15211391efd96d03b76d021eb95e706</t>
  </si>
  <si>
    <t>0928c3fa289a66485bcce73c8af2eee65c10ffe33248043982d2ada6da1a85fe</t>
  </si>
  <si>
    <t>d086549f4a486b7d3984a22716e591cdf6a8187ce6fb0454c5383cc4d4aa14f8</t>
  </si>
  <si>
    <t>8a6e119e931ba478152df243f70778e97c39f6c26f270dc3a6d540da5d3b7809</t>
  </si>
  <si>
    <t>7a551aaca20e1a705f3a9e5c5529553e14b01755840583a219267abf32f67bc1</t>
  </si>
  <si>
    <t>38d3c61af59ee824014b4f7dba29516779c23060620767c1077d2025163de875</t>
  </si>
  <si>
    <t>420a64a40a320aad38dcaddf60d710d93266ecc45e3243aa16faad49653ac4e7</t>
  </si>
  <si>
    <t>19db078587c88f8dcf59c0209887ef2d2c36d8377e623e2b185dc23bbef8c15c</t>
  </si>
  <si>
    <t>68368f87c909a345a06790ca40d840aaeeb354812837d5768b78f888716e5d9b</t>
  </si>
  <si>
    <t>011d093ca97ee7662bb77d9a98f27413691b102933eeeef299479ca6693751b5</t>
  </si>
  <si>
    <t>8aecd78ef098833886c3184319c6684faeacdb642c2511f201a436cdb56a3fbb</t>
  </si>
  <si>
    <t>f3968d8d1676d4af935a9ac5caf6ad6bf6825077e357e4153bfdf853dfc4345e</t>
  </si>
  <si>
    <t>61648e7bfb59ebed7cac4456c5c19ed98dd489420defab054afaed4c47acfe49</t>
  </si>
  <si>
    <t>f7161fa008fc2a76ba6777d771c0fe96c8ff32edba4915000a07b9c05a961d1f</t>
  </si>
  <si>
    <t>78bd6a303b0411bd309efce86ba7843ec44fce2a0946fd015c45fd19188e40c7</t>
  </si>
  <si>
    <t>c58b409d0ddef4cea12c3172315d31dc3a94c15a224a174c2dbc9d39466ac596</t>
  </si>
  <si>
    <t>beda6cd807aa6c8a39a936e516053d3e5847d2145fa7c9f195bb52c02d0109c4</t>
  </si>
  <si>
    <t>400829ca89667dc252afef53512ee1629634e2bbf013b308a4c05dd5c39014cc</t>
  </si>
  <si>
    <t>d5b14726fac812924bcf393a5dfbf36eacc42dd269c06d932b7192eee3980517</t>
  </si>
  <si>
    <t>99f2461601fdaa877be8b15aef5a51b4aa8a4b3597e099349a8a17267c97c3ae</t>
  </si>
  <si>
    <t>e67cbca7196d77e462e88a5cf905adce54f5cced1bd454c75aeefbd1924560e9</t>
  </si>
  <si>
    <t>f607ea079d0b63d0eaa7b3bc40fe9702cbe3a2a2f87b26cae8a7464f711784ca</t>
  </si>
  <si>
    <t>b8b13e51637e37100c77fe554a52957de2d9ceb69070ff4bfb33f497d5b5bfab</t>
  </si>
  <si>
    <t>956faa3913cc94523cf834d107ce5c742bb03b004291da488444154757d7f3ff</t>
  </si>
  <si>
    <t>d5f220f199950f1606aebb69888e170fc6a05c0d8816762704535b07bff64fb3</t>
  </si>
  <si>
    <t>40e259e123cccefe05cd0d9e2f3af808f34dcccfc95a9b71076d8d5150bf015f</t>
  </si>
  <si>
    <t>e4110d2094ab28ba061d22063867129fb8e5f303cda93b89598e7f6afcf06e5f</t>
  </si>
  <si>
    <t>bfa2890aa64ac237ad1968d4f1d8890b8b0e7892d3ee0446ed1f6c8f6f568eb9</t>
  </si>
  <si>
    <t>13adfda9b52c9135486baa007dfd581af81e150fdafb6a644b165ef1e80b6a2f</t>
  </si>
  <si>
    <t>4072b1f8f195ce0607d71a0341098d5a8e1ee85516b288edd47f2cca8cc293bd</t>
  </si>
  <si>
    <t>b5300cbd8d5d4d2c7784c47052b9f60f72657c3f23ad54e66467f1a19c2e99e0</t>
  </si>
  <si>
    <t>54647d4d0466d9e72d676f84999a2fe1263e0bbec0b644a2d48ca78e05db21c8</t>
  </si>
  <si>
    <t>9ea61f68e9e8b187c8d82da17a1851b647b417b1986f50b786cd3d38ffa660b1</t>
  </si>
  <si>
    <t>70b8580c4b9b8130e5d01c80e58585ce812a5f5f4398496265a4dba721cbdace</t>
  </si>
  <si>
    <t>6f7c7613c772b7881020e47074e4d270012968f5fc8ce724e7a65399e6b26380</t>
  </si>
  <si>
    <t>95eefc1c37587903be9a5c6d674f3635733d02c2c21811740db13b2ab1196e00</t>
  </si>
  <si>
    <t>6f2198f6eee9a8ddc57331e8aca5b416a739b4f9745e8491ecf97d4f4ff1126e</t>
  </si>
  <si>
    <t>ee1cbb998235374eac2f79aa21a27a3ac8137ff5d7251b8c9788894ac0331c6a</t>
  </si>
  <si>
    <t>19c8640a9ccad5f10de48dd2b9abada1a6da8d516a36acd97284c3d23ff85317</t>
  </si>
  <si>
    <t>101ed2658374536eff088a7032cc60cf21c798071d83e85ae482855d3819574a</t>
  </si>
  <si>
    <t>cdfa203069c88579acd40bed73cbc23044e741344f52cf2142f25c323c325b24</t>
  </si>
  <si>
    <t>c88b56a7c1db7a184ea02b783d00944566a71ba0204c444cb19931753117fb9c</t>
  </si>
  <si>
    <t>93d773b5b3207314f1185a6e02822fd4017e5011cd9120217f4016ac4863121d</t>
  </si>
  <si>
    <t>2d47e7b328ef9fd0a5bca36e65f68ac5fbf78a89e4df96f51899c6823c1e07a4</t>
  </si>
  <si>
    <t>bdcedce30f5b46279ca59d9b09548350d1ed413c30080b23da1f5c28fd43800b</t>
  </si>
  <si>
    <t>e6049e5d2aa4e4c7707958f55fb16e15d5a7c6a83bd854c923f65300e5686b95</t>
  </si>
  <si>
    <t>3d7989cf9eca39ee05fa1805b5cf574aba7926a17b61e7f88aeda6703ae95b5e</t>
  </si>
  <si>
    <t>CT TNHH Ống Thép Tân Long</t>
  </si>
  <si>
    <t>fcb9cce565941c798476628d44da77c98ec04deb4e702494cee4a9d9dcd2ecb2</t>
  </si>
  <si>
    <t>9ee27e750c2c5c24bf9eeee181e86df2309c539282a335bdad44262c885c6b98</t>
  </si>
  <si>
    <t>ab5aa3f10f26264fee10bb56c22b0742d5928413f355508f19376f022eee92c1</t>
  </si>
  <si>
    <t>6b04031e93cb34644ff32f3ed517b5f1e105b67544c3840a44cd9592b11265a8</t>
  </si>
  <si>
    <t>83e499840d74eeb1daf5f45584bd67155b7f2fa6139447bae6f7f2a413079e9e</t>
  </si>
  <si>
    <t>e3dbc8202e934bf90768c0b51d6512dad8d1903e1f102902834ae35bda17e16b</t>
  </si>
  <si>
    <t>02723433284bc39fbdb2e7ab63211ce3f0d20ae42252def65b0640479f15932a</t>
  </si>
  <si>
    <t>88124dd678aff8cd86c7031d22faf5b3ef4099519d305ae651c2d3ad440ae373</t>
  </si>
  <si>
    <t>59d8296e78257deeb43f001f15aa31c599f4e6e2c36d3523374fc30c40eb88f4</t>
  </si>
  <si>
    <t>80a25a18aaf50bb9cb7ffd93daf3872dc2d272daaf22393f2e50099bb63fecf6</t>
  </si>
  <si>
    <t>ea4452f024a3d9468514a7b67442212afae0380aace685539515451917d4df91</t>
  </si>
  <si>
    <t>5117e0d7fa9dad1eb41557f282a993dae3a3f57ff128ce5e4f8114a7c6b9fae9</t>
  </si>
  <si>
    <t>1cf49119c4ad95c32e45eacc7926271b1c1cb4a5dfae5fb638cb736efac8b33f</t>
  </si>
  <si>
    <t>86d22f333a96b22a205c52db4ee87d278c9c3b5565539ac7b4205a8269cc3009</t>
  </si>
  <si>
    <t>01043dcbf8ccb5b6424803631383ff3e23ba0d130dba7545ba039a56e2126907</t>
  </si>
  <si>
    <t>e5a6dd50f4bc188e29471cd7ca8e5e34b34c667f67687755a9a44179e27f33e0</t>
  </si>
  <si>
    <t>2850d05a224a7f6f147cf505c52028e3eacd1914aa12c2f7a53a380918fb2dd0</t>
  </si>
  <si>
    <t>CT CP 1285</t>
  </si>
  <si>
    <t>9cfb3ddbb46c284a0c50ad1bd1965323020a1d5520654241c83462a1d5ea2180</t>
  </si>
  <si>
    <t>50e2ec4313868060fb1ef2d7faacdc81890194a2e7ed5c93d8fbf6954ee00816</t>
  </si>
  <si>
    <t>9c612d651903454268e65c5ca6b0cea01632c15c114c9a519ebca11a17d124c5</t>
  </si>
  <si>
    <t>4c0528bf5407c963322f03dd8e3159fc8f0ed7f90bec0d9a8003a773932412c7</t>
  </si>
  <si>
    <t>84b394cb420330edafeae25edd026858ca32830f0e6d33a9171d111fea77b190</t>
  </si>
  <si>
    <t>CN CT TNHH MTV KTCTTL Bắc Thái Bình - XN Xây Lắp</t>
  </si>
  <si>
    <t>3c130f79c1fff0d13cf21c5a3a92b318d3b65d43ca36ee3f62f71c508e82768c</t>
  </si>
  <si>
    <t>25ae7dd5a96953e22b5412139fb1ddb3798b491198898de8ed52fefc803fd8af</t>
  </si>
  <si>
    <t>8099b86856d4e402d10826520cb3a3daa1f77541091a719f58aba1903565ff0b</t>
  </si>
  <si>
    <t>218761e84265c0e3e5fa21be7683c7aab3bede6c8fa1c16dcc5003deb65f478f</t>
  </si>
  <si>
    <t>fd30eda66d2efbb49eeafb106b66cdcb54f2b33f40e1a88bdd65e46cf11feb90</t>
  </si>
  <si>
    <t>12f06c4da8eadf9b7cab6ab2351922919ad394bd6278663ae790bd26c680c569</t>
  </si>
  <si>
    <t>fc0b65e78d5dc758495c6ddb54cfc0f2a2f29d06cfcef868a3edfa67ff144be6</t>
  </si>
  <si>
    <t>0a9e8f2a9f5fc4f3b1fa2e6993e3df6dd3bccdea624cb5297a4c1137e0add6e1</t>
  </si>
  <si>
    <t>51bbe921e16ddbc210159e43757760a656acf7bdc47b0814b7c94ac2f8c7e334</t>
  </si>
  <si>
    <t>43a8062d70f92782a2a749a6e1ef2863c9401e4ef360ecc030536d74f2d35efa</t>
  </si>
  <si>
    <t>2b04e25bba33d962658f87d519484a84795a71ff8413a49c450105c468415f69</t>
  </si>
  <si>
    <t>0a61a3273edd983cf39a62186bcc021fb94ffb0843cedf192f2668507d7a9d2d</t>
  </si>
  <si>
    <t>1b04ece397c9ad2366a87d31b174134100cc42889d91e5de4f35f34b5590e518</t>
  </si>
  <si>
    <t>b778dc424e93b62e99f555d4db511f7866fa70d86042d515c52f85941014043f</t>
  </si>
  <si>
    <t>4edc1491949d0c1434648e42634ce4feec6a1879c869175cda53e2efcb3f4655</t>
  </si>
  <si>
    <t>c4a5c55f3821101fdfc205ed75ff53694e47c6ef83970af3f005a5d93a1de149</t>
  </si>
  <si>
    <t>2d87972969cc176d4e711a74386488925258089fb551f1e7adb92b4e3f874297</t>
  </si>
  <si>
    <t>db0f5415db0356dedbd4de52f52a6364593985e5f3c2663b4b3271d4a33df9cd</t>
  </si>
  <si>
    <t>CT TNHH Tư Vấn Xây Dựng T&amp;Z</t>
  </si>
  <si>
    <t>afb7dabea173e1ea1f029550bb54f3a2feac28831a46926cf1de12a254a9184d</t>
  </si>
  <si>
    <t>0d847e5b2aeea798602127158a2fd32311376d53d9f85eab883f29046d546479</t>
  </si>
  <si>
    <t>792738a7e089bf4920a7bc28e17a6318a868540f3ea770431edb1c8fdb673d0a</t>
  </si>
  <si>
    <t>4208af53044c3802404b635be443e3beb4377d076ede52223277a99e881441a8</t>
  </si>
  <si>
    <t>01d34a7d4e9f190e9c62b821a30238a6a90c050b0e889cda9294f036d7633387</t>
  </si>
  <si>
    <t>85bcd7f336273245b1d8761fb1c965cdaf4eca05490f7887283aa4728853f9ec</t>
  </si>
  <si>
    <t>c853b23529797a288c66ce336efe5c4d79b410667b8f7e82ac872d12fa0d4d63</t>
  </si>
  <si>
    <t>610d71d0b679fff504c6a4279ce4226984d784d957c5253caab2ea6bfbcbf8ec</t>
  </si>
  <si>
    <t>9d372089721f038b4c73c43029812b37866d75fdae7a7c02a272ce8d4dddf546</t>
  </si>
  <si>
    <t>b13dbdf743a54886ed49768e3baf60750fbd6bf53d81d89f9d15ca64427e6f99</t>
  </si>
  <si>
    <t>73d5925d37e6b6055822b8b6f4e05827afb37047f22c989b9dfa9cda34e477b8</t>
  </si>
  <si>
    <t>e18c734efc5d63eead3a316899d5ea4d1fbb6e3c8c67ba3dd955cafa46b12a8d</t>
  </si>
  <si>
    <t>Hợp Tác Xã XN Cơ Khí Bình Minh</t>
  </si>
  <si>
    <t>f446b60cdb21db604649058f7cbc3c163ec0b00e33b8190b4797d665caf80751</t>
  </si>
  <si>
    <t>d9d57745e1ba34b08434a5fdd9ca0b42ec7fba5c9e6f0d175b782751f7ad552d</t>
  </si>
  <si>
    <t>18ccb80d77e66c74d3b910767202a1c7a97297fa7bd5fa88cd9f189eef11b499</t>
  </si>
  <si>
    <t>b0b86a1b6f5c312da8f964ce72b0b70602c716823aaf8b1920038bd06f4b9791</t>
  </si>
  <si>
    <t>c5a6db2f1e225d1588624916743a7f222e34565e1c6acb8c1788709dd166bb05</t>
  </si>
  <si>
    <t>6783cbb746e4916a01a3025e05ca395d24f31dfc75196306c36236b829d32702</t>
  </si>
  <si>
    <t>f49d64a955e4ad8b09b1e56a11a8a6a8891558fe2e490cc24bce9e1db55763b2</t>
  </si>
  <si>
    <t>4c8da91430f2e18ad0ed3fd8157a1eb12fbd06dbb00f163f84e0e3043aad0bc5</t>
  </si>
  <si>
    <t>2f5bcaf50f9bb48c96f7ee84320e539122ecf6dd18bbdb792e5441872b7c7f95</t>
  </si>
  <si>
    <t>0a1da7cae77be2457a7986ff5850d25cc41014a16b011f3862142eedb778f384</t>
  </si>
  <si>
    <t>eae9d8caab53b5d14f4f1c27158b53df6c6198c3a7e5eedd9f14bf49152dbfc4</t>
  </si>
  <si>
    <t>d0bc35f6f108cfb5ff849b50cbe2fefceaa958cdad1a069c99b563e13ff3f8a2</t>
  </si>
  <si>
    <t>02b211847979241e492d45c99999f150cdc301f5718a0238556dfe6ba2af8b9a</t>
  </si>
  <si>
    <t>1281f1da295061ba79778365fb49377ed9f90e3ef7a8fc85679c274bb3864678</t>
  </si>
  <si>
    <t>2ddfbfca4b1d12f4993d740aafd280f007a6bea78ffde4564e05b5a8c31a7ba1</t>
  </si>
  <si>
    <t>15bbaef9d77cd283d1e411e80fb9493c711f4028d89b6eac63f13aa296c2d94a</t>
  </si>
  <si>
    <t>c940e92ce1912d5bdad9bb03a99a45dcf2ddae7238cc08e27059ebc4a6dde477</t>
  </si>
  <si>
    <t>d4dad2348f80923b48abe55499ef9e6196fc48a19634b52372e523300df73bbd</t>
  </si>
  <si>
    <t>a1edb234c39c77c8e27319857eb0493159014591199656ebc24d324a46c6f0ba</t>
  </si>
  <si>
    <t>5b1337225c0560ec44ad3ec1a8fdea79444a772690e514284f580214b4f39456</t>
  </si>
  <si>
    <t>f5d7bfcce2354077e692bfd79d51745c25b472d5631ca8f7c2d88b414be2fba9</t>
  </si>
  <si>
    <t>48e8d360cfbed02db282eaf693cae3d35cd766d381a070310ced1b2b0fedb50d</t>
  </si>
  <si>
    <t>Bác Đỗ</t>
  </si>
  <si>
    <t>a0620e2261b450c2622a92bb4e03634acc1dab062c5510ec7d194189c3828f92</t>
  </si>
  <si>
    <t>d6722e2a5a3f501d94195e34baa15a6ecda1ab95c9c6dba1b0b12f35dc52cb3d</t>
  </si>
  <si>
    <t>67c1170390f25691059a8c4cb6ee31a29657fbe0635800259505a3576626db75</t>
  </si>
  <si>
    <t>6a0ec8455a2a74b99e3d675e09dfd4b44e6fc340e3dbd964d3174f75d764dd31</t>
  </si>
  <si>
    <t>17d6e11d9027b123b657d423795795b8107d794cf5176d048b22d58d121f0f45</t>
  </si>
  <si>
    <t>6c4f2ab17d5a2e4b65d5d00317c740f0f994671b11b1159f1d648b019c3c4815</t>
  </si>
  <si>
    <t>0303ff63d506bc256895048b828a7b3110adb246764caac7e461ebc36c0cbecd</t>
  </si>
  <si>
    <t>05ebfc5fc84105e4ab2f878e9dfbbc3c340a9dc31a2bde013f7122bb00fc7c73</t>
  </si>
  <si>
    <t>fb39b08a955d1cc85ca7afbf789fe6a1a73decc9642b35f584d0a6acfc19b727</t>
  </si>
  <si>
    <t>1027c581d755d67843ad8803a83537c0d797f789a605810348b924972a59160a</t>
  </si>
  <si>
    <t>92308584f6ebe5e2270587cb187d897e38f4d40b965acc072609681f20393295</t>
  </si>
  <si>
    <t>03377eef4f523f7778c7ad6d5a9c89604f9528a2bfc627a0eeb399146286664b</t>
  </si>
  <si>
    <t>CT CP Đầu Tư Xây Lắp Dầu Khí Duyên Hải</t>
  </si>
  <si>
    <t>d3223d0e45eef2fff0dc51ff87cb81f77d5491adfbd1a0f550271de1617c5eb3</t>
  </si>
  <si>
    <t>8a3e5d4574d5559668caae2e1a975bbf2d20b6b427bd36b8a090827349f3faa8</t>
  </si>
  <si>
    <t>5174bcef4c761e5776c5e4efc01621e9275c992af4809d7e69736c180fb43709</t>
  </si>
  <si>
    <t>65e4b7a445e87d2ce7cfec53a58d34148a18451555054b62ed1d1cc15bfb668c</t>
  </si>
  <si>
    <t>ea260b8c47ae8fcca93ce9c986dff964e546cfb0f856941012058da474c3c39e</t>
  </si>
  <si>
    <t>a3562b76c8cf610e07c040cf04df9c280969b5df296e8ffe7e6adbc19eefdc7f</t>
  </si>
  <si>
    <t>706413fee79de5448d23113c30208e30bd06b2757c181d1c09c3c230bb90cd4a</t>
  </si>
  <si>
    <t>97c887e062dc1c3db69dd4d2b6dff20a5c64226c068ecaae5c67b83a0c0ff970</t>
  </si>
  <si>
    <t>b51499094bc5a7f53aa3ff57f766938331e31b09dde9acf0b3ce6cd6d906d701</t>
  </si>
  <si>
    <t>CT TNHH Kinh Doanh Thương Mại Và Sản Xuất Cơ Khí Vũ Gia</t>
  </si>
  <si>
    <t>8bdd4448e6a77d3cdf6f471100ee87ead0a88f07dcfaf1a4c09b67c5c6f9ef3b</t>
  </si>
  <si>
    <t>4ccec456fa43f9fa245d0bf529e4b577c6a5db6ab2161831419a60665c18b465</t>
  </si>
  <si>
    <t>680ae1c3c65b4291e743b493ba34affcbc5677d1ebd8890fbf19eef0ec70f15d</t>
  </si>
  <si>
    <t>0a6312123f830c1ff2c92814be29ca0196b67394d500872815bd21093aca2234</t>
  </si>
  <si>
    <t>ecb16038c3a9d580b29699efeca88470ddb9168e6d1e035ccac07f09cba45b7f</t>
  </si>
  <si>
    <t>6693e62e0662c7676a8c4ca520e82faa8e2f859a95da4eaa8222251ed91d9449</t>
  </si>
  <si>
    <t>5abcd9eeaf6fda23b9370f84d6bd7a3c2bf94591b2631da809ae145e7f9de294</t>
  </si>
  <si>
    <t>cd4ebeaea29e5672ce67d18675527361207e90c822f7ed1967dd22bf2f1b9f81</t>
  </si>
  <si>
    <t>5259f8fd0a299ef34c3ef033d837dd0458fe24306e9f411549ff3cdd12153b00</t>
  </si>
  <si>
    <t>c840ae4add2779a8e811f17010acc3f00983cb5a63e673746b3b015410af8005</t>
  </si>
  <si>
    <t>70e6fdd087847780d6831fdaf47811dceddcb84108a0d413e53ddb87be846c06</t>
  </si>
  <si>
    <t>CT TNHH Sx Và Tm Kỹ Thuật Minh Quang</t>
  </si>
  <si>
    <t>dbbe83f1c73c3d745f2a7e6ff783a38d448d0870a107322da6eae13bf1dd81e0</t>
  </si>
  <si>
    <t>CT TNHH Đầu Tư Xây Dựng Và Thương Mại Minh Thái</t>
  </si>
  <si>
    <t>c603e511b137c4683fa20064ffcf9747b17a14b3a6443f66c284d43efd0701d3</t>
  </si>
  <si>
    <t>334111fdef63c345ff483e8494205f1950c6f69237ded43000c0897314884a8a</t>
  </si>
  <si>
    <t>a3ea7dec98571b31a145ab2cc87b117ba239f819cb9fefbdffadd5196e6ae487</t>
  </si>
  <si>
    <t>c901653ea381e7bb1261814db0d1a82749f9b0669557aa33c42fa92c39fb5022</t>
  </si>
  <si>
    <t>22c92702d5d1b8da389cc26c15a3d1a1e3e8ef1977ed099897d81f7d27382f03</t>
  </si>
  <si>
    <t>CN Kỹ Thuật Viettel Thái Bình - Tổng CT CP Công Trình Viettel</t>
  </si>
  <si>
    <t>641af1fe94abbf2f43130202369c462cfc2832f1581b6e644e3f29342fac5c50</t>
  </si>
  <si>
    <t>75cddce4d66f17d6f731a12aab5c5bceffb69edd1875a574fe73a7c20410f4a7</t>
  </si>
  <si>
    <t>71f2cb045c521aa27f8021bde30771752815a1851c8531e339dace0bf06d9ac8</t>
  </si>
  <si>
    <t>b141c7f1ad17c119797e68d7f17e8b47de50d54a42c216a035d4d95b8969ded0</t>
  </si>
  <si>
    <t>b580ad5eb228bd94de7c9ff65cba726e4b03bdcbb08ffcc00eb325740807ff8c</t>
  </si>
  <si>
    <t>42f268f93aab3800ffa81dcf5d80e7dd7bf6bf2490f498e7c5eefa2ec197548d</t>
  </si>
  <si>
    <t>CT CP Kỹ Thuật Xây Lắp &amp; Thương Mại Hưng Phát</t>
  </si>
  <si>
    <t>758eb1e4bfbacaddf7a21f500e2dee0d2e5fd422c3071f8e807558fb5ab3c9db</t>
  </si>
  <si>
    <t>533890a1fd8ccdd8a938e52d12d901be1e8b4b83b6fe720d4fe1a39610e31db5</t>
  </si>
  <si>
    <t>2456620d4a469f2da306127a39ffd97b4929bb18c1e5ca524067674e2d1c066a</t>
  </si>
  <si>
    <t>307776c9e7a2e976a3deb61922e674b0a21565d277af762c84b377388af1911a</t>
  </si>
  <si>
    <t>8c447d75b243a07de0aa99e8db5349958cf72e0f831acda57ba4a73cb5bc7dfa</t>
  </si>
  <si>
    <t>87e4012854fd7b7eaad255c8db59333875346f66ea8016a75bead50a081be84d</t>
  </si>
  <si>
    <t>8bc5a76306e3d86f73c2a3b6c94dc4d4af14a2df89f2b6d96eb758e2df3ea34c</t>
  </si>
  <si>
    <t>e204e32369fa5e73a1fce273b95b2bd4d090484529661262d9ed7c400eb826c2</t>
  </si>
  <si>
    <t>364f02238ae5c89fbdce5ab32fe345abc77f9c441ef808dadbd8e64b5a2f9fdc</t>
  </si>
  <si>
    <t>b6d39f513e2428d3ed5296ad5abb7452f3293384503e43ec42628c7ae0f7a98b</t>
  </si>
  <si>
    <t>7863f4b0dfd3e1f1e8e3433a96dfb5147173d5fd8648707dc5c3f8d6999a59ec</t>
  </si>
  <si>
    <t>3e997676a512eb14de1f5530006aac3a2e36efc5c6287c286a54c647ed4f86e5</t>
  </si>
  <si>
    <t>54f873c29d6f6ff0c0b384a70c395750c52e8be100ae8e9573d44c701b60acff</t>
  </si>
  <si>
    <t>ec8c641454f09fbace5c1674a0561a1fa9d43f718c1f81dc95b15e117b8d839f</t>
  </si>
  <si>
    <t>92b4da33140f29e2bc32f4e9a9ccdd2f5062f714eec6ba9f0b8860e901c860ef</t>
  </si>
  <si>
    <t>731ff1c87fec42d4f3150d71216d3dcea588da9a29ae932db1573161212e1ce0</t>
  </si>
  <si>
    <t>834caa1ae9754fbb98f0f2dc13acf360bbc3798b00dc85f849374dbd2de70639</t>
  </si>
  <si>
    <t>CT TNHH Kiến Trúc Và Xây Dựng Thái Bình</t>
  </si>
  <si>
    <t>8d05b5946e06653cf90f6dd859b5d003c1a14d74abbd80b2a270613b5de2a6ef</t>
  </si>
  <si>
    <t>324823394d0b6cbc8c76bdbf2d92f48f11faa2410be6d9c4ae8aa6863c233e1c</t>
  </si>
  <si>
    <t>b977c930ee40bebd50d96f2dac4ddcfb9d1f1f4f6f44a0b94c40900fa118b892</t>
  </si>
  <si>
    <t>77a6b3a0586cde3755dc65cb4931aaf869d03b10036fd74d8235cd389b4cd1a2</t>
  </si>
  <si>
    <t>8b4ac812150dbceb8229d37f50b669e4c66ee6e0ad7c6f2b8c8c4dc8baa7fa4f</t>
  </si>
  <si>
    <t>5d851ca43f4373c78c8ca447b58475489ccd6b4c10ad97f5827f36b76862071f</t>
  </si>
  <si>
    <t>3d9987545ac7ccefb1453bd13a41740fcbd1d79ed492a12ef14947bec2eb67c1</t>
  </si>
  <si>
    <t>ffff23f096854d1679677e990d0e8c72d018609b7ef5b6c27daa3f206b165f9f</t>
  </si>
  <si>
    <t>6ae000e9f5bc545496546161fdfc8a3f915e90ec566a195b15f93f89f74c6205</t>
  </si>
  <si>
    <t>CT TNHH Xây Dựng Cơ Khí Hải Hà</t>
  </si>
  <si>
    <t>ebe1dc9dbf9380d544bdecd92257a4b9b82b5e498446259d68f462c8496fb7a5</t>
  </si>
  <si>
    <t>b8bdfde6520c7a65d46d8d8c84c4ddfffdea41afe34ce48e3b6c852bc26400a3</t>
  </si>
  <si>
    <t>0aa1a00e3e8bacbc23c7e912a1ae2d81546fbc49df23e49967f4045cc4727949</t>
  </si>
  <si>
    <t>44ddf8be9e1858e812c5b7047a3050fc7762f77d043284f0b02292bfe2766477</t>
  </si>
  <si>
    <t>29f6514faa0e84737038dbf17100d044f98a0c7de79724c0885f3fd448f2f464</t>
  </si>
  <si>
    <t>CT CP Eci Việt Nam</t>
  </si>
  <si>
    <t>38a46a702fbed89288e1fd585445c2c2628cbdb6d897762edf0939c2d4ba8f76</t>
  </si>
  <si>
    <t>01c1feda67bcec8bc8fe84c128f513d1254dc674fae032a8312984089c21da8f</t>
  </si>
  <si>
    <t>0ac2260a80b480281f071e43480686f1a576dbe52d0f1ca4efce685b6ce3a1da</t>
  </si>
  <si>
    <t>925255783c46050fba79b5df2472ea29ebe1b466a274111e4f4948a508c9bb9c</t>
  </si>
  <si>
    <t>23a12278b3b4f66c9edb91b0faf8014147bc41048db52fbd3750e17d5c9d5355</t>
  </si>
  <si>
    <t>d8e078d9388486257690fe88e8f803ba900fd29e4b653eea6fcd11db8d3b1852</t>
  </si>
  <si>
    <t>cf6bcbeadfa9b0df97947f9cb4f1960625f45b02aef42af12597bbd7250b34de</t>
  </si>
  <si>
    <t>66e748adca25b70b025e6be60effc51555037e95f9c1a1f0fbecbf1ed81ab2b0</t>
  </si>
  <si>
    <t>03f45f59a98d7c892da37f88ce78cec8d1a295b1cea19afb213fb2ff13b184e9</t>
  </si>
  <si>
    <t>61485f3f4c9748ec49f4d0a01277982f182f618e0c2662d3a8a5236fb3ace894</t>
  </si>
  <si>
    <t>2246c503be2e0716dfd52fef14e41e625dbdc27822dd26010b572744c9fbb9c0</t>
  </si>
  <si>
    <t>e2c3a026d525ab92784898c32f1974035dd8c3a11b6c8ebb013ca7431ca9781a</t>
  </si>
  <si>
    <t>09d532cf17fb42972d783e4c13664c00004305d87212afbfc6a3d684cda4266b</t>
  </si>
  <si>
    <t>f436d6be7a8759dfd19391c8cb98a937534328eb44c90bbd8d21cc12e1c544ff</t>
  </si>
  <si>
    <t>6e2a9b80252fedbff5eecd6b3f1faa91e7fa7184b4c34a81f3745614956022ad</t>
  </si>
  <si>
    <t>eeef5ba566f5402128e8483414c0c4f31217ce846726113cb79bc47ca0d9188d</t>
  </si>
  <si>
    <t>fab01b91cb7950f178cb3e471b872fca0b345118f8d55f44d0dedf8d1ecfaa3f</t>
  </si>
  <si>
    <t>47d33dd252a7ba540cbea4fc17ddc8650fbcb5dc4b3ad23546179f32f52760cf</t>
  </si>
  <si>
    <t>a20ad24de02d63520a8ec0142166b5ade54b82c37fc8859cb9ea674a284077de</t>
  </si>
  <si>
    <t>c0892a3d7ba5d170e0e18b27052b065bcfed79dfaa002a5271488c718fcae38a</t>
  </si>
  <si>
    <t>d2d8bec657748c9d0fd5ecfe7d2fdfda9aadaff1c78c877063360739955a0193</t>
  </si>
  <si>
    <t>831d4a7e1a76e93a2eba6c221cb08f3e4a6024073595b3ceb60d00e48700e7f5</t>
  </si>
  <si>
    <t>9a6528991db2d97f3fde7cf45656d0e0edb24cf54b733477bd1419111549f046</t>
  </si>
  <si>
    <t>44f24e8b94ecdec696fdc6846461ef3bf8006b9e23308ea21bd30aabc761b27b</t>
  </si>
  <si>
    <t>f61355ab3b198251654a8338ae6f7b4fcf2c958f0f9e78f322e11d9d46eaa702</t>
  </si>
  <si>
    <t>5d74595c374a46763ba8767d56a3d9d6513acb05f84c4892a872a6432084b699</t>
  </si>
  <si>
    <t>b05cc49b3cde35d100e40e79e206cd0508b83ba2f9efe68d75a9bbf8d82c8e5e</t>
  </si>
  <si>
    <t>abf318fd62b751d4ce860e3f13c836d83bc5714f9555623de1abec6287724c9a</t>
  </si>
  <si>
    <t>fa2e2075123b6e83239cb86b742f35aacd99c608b229e6338e791f07b3e27462</t>
  </si>
  <si>
    <t>4cfc44d9cf9df19450725d6b1435376a27c8a030ddf11ba57718856ca0c50b36</t>
  </si>
  <si>
    <t>35c886e2613cc6f11850abb99b2f6575a01bbabaeab77fb7a720e1d5248cfa81</t>
  </si>
  <si>
    <t>6b17d071321eba63788f3d3770ea363b4ab7865429325886a57e906b584d711b</t>
  </si>
  <si>
    <t>7e7e2b0ae0c7019e5f3c455b45d72192fd98e476c463d11671479a1bf98ccab9</t>
  </si>
  <si>
    <t>aedea373c66bb425f11aa52734f748287cdd4fa4f30f3eaeed467b3dfff9349b</t>
  </si>
  <si>
    <t>CT TNHH Xây Dựng Đức Dũng Thái Bình</t>
  </si>
  <si>
    <t>983d2ae7b321a4dcda7ced5ceb20a6c60dba4c7ed1284a25a46adbcf37573e8d</t>
  </si>
  <si>
    <t>6f9e1e4de12888446cb27779fbf106fb33ec69458812f931885e56519f1e6fca</t>
  </si>
  <si>
    <t>a9a36318a97b73d92f6a1a3526a15418cf48b35f3a5d731b2dd46103db4fb0e7</t>
  </si>
  <si>
    <t>87343019ab8ffa32b7c176a52c4308089800aef154f4d2815ff6cafedcd0177a</t>
  </si>
  <si>
    <t>cacea1b1bf6f9bccac3ebb92517f0d7909c5bd4cb97b273f0d94da9c8ef16c5c</t>
  </si>
  <si>
    <t>d1b302edca7e1fe4866708538321c5f638c979f72db961b087f03747a418c511</t>
  </si>
  <si>
    <t>2f88d416ce0c210ac94f8fab291ec5c362f438ea3e01e3a5f12f5ce2d24d9932</t>
  </si>
  <si>
    <t>b27d7a95d8266c07195e50a4945477dd6000889e112d50dcee08c7eef7b61264</t>
  </si>
  <si>
    <t>e21511cdcd261c4d043e03485e55cb78f543922c8a039a89168287b4dd2c9e59</t>
  </si>
  <si>
    <t>CT TNHH Sản Xuất &amp; Thương Mại Thép Quốc Tế</t>
  </si>
  <si>
    <t>27632e18fed61e8556e4da09f38e46614653a99bbc770301311395b222728297</t>
  </si>
  <si>
    <t>c111fc3226d7a980075520e9d692916b5c48f49487ee6289ea85d4b893a03f00</t>
  </si>
  <si>
    <t>e7bdeadbdc5ced5adbc8a6b3ca460e1b25d5d5f5d226d411a493ca1b6b67063b</t>
  </si>
  <si>
    <t>bf034db7e144676df19bc08f9c2c7d36195cef45b835d346f0be2b8135ad9f35</t>
  </si>
  <si>
    <t>93086e5b42fa38e84eea3c36a0f3b2cb4cfa78ae9fbb362c9c7cb4987dbb39d1</t>
  </si>
  <si>
    <t>76eda1127f971eae635ae05b537e973b943657899e4ae1f54db2bd61a11bbe21</t>
  </si>
  <si>
    <t>90c749023194d2bb5d2e437693ea90485ba974eb5f43eca275b269fc04298d19</t>
  </si>
  <si>
    <t>403ef868806dc724991c671f6a47df98e8b00a8437b159774b33d9fdb0166e81</t>
  </si>
  <si>
    <t>ab264ef66a3c0c5cf581fdaa7b76e29672211dd5db28155c4e2fc009ed45b0b2</t>
  </si>
  <si>
    <t>68dce574c5ab8e3501bd9e9061ff980699ac2eb03d3ad3a78197df5659825090</t>
  </si>
  <si>
    <t>fefea787d506abf415f8e094568bd499bd3f58b0dba821607fe71455baab1cce</t>
  </si>
  <si>
    <t>121e8560aee4598c4ead9c95b2bb06a2b62fac69087c52ed3219761c62be5ba6</t>
  </si>
  <si>
    <t>fae693f057f6b43ba872ee3074fb5a5e5de1b4de639b74edd6e75e8cc74daa7a</t>
  </si>
  <si>
    <t>10a3f359ccc412d262d5ae14e4ded9d2f239cd996768d65bb82f5c97ef52fe70</t>
  </si>
  <si>
    <t>c4d9678a3a7c87e606448653e01088d86c2b6fc61346e1dbe5ff357fd0ed7147</t>
  </si>
  <si>
    <t>081c31500a197d64f3718c4e37c8e7c3fbc14e2f20d4599593e192413e117d99</t>
  </si>
  <si>
    <t>afdcb507a33dc1c1b5f5ad7574390b098942a7f5fce1865ed5b65276f0ee4868</t>
  </si>
  <si>
    <t>35be293b74081f0c5ef0ec1336cfc7e49ee2e03035730a9f810482ef72a7c4df</t>
  </si>
  <si>
    <t>07545f030b628b0e56d02be54fd66381cb11f9444e5c8d77832bfd2463d62baa</t>
  </si>
  <si>
    <t>5854cd17994e0b5907b84ff7f13213385b5a8471a6f7d834045abdff0170ee78</t>
  </si>
  <si>
    <t>013f35cd1fa9b475b0a77cb9aabf2f453e6540496eff3e271c6d1415c519422b</t>
  </si>
  <si>
    <t>f3bc8ab88e33779314fdf651f5117190fc14e239dda93b113fa12f5a9166fb2a</t>
  </si>
  <si>
    <t>13437a2a357da8a2957626eeca2f9e55a67e643c755da9abd24a77773d53631d</t>
  </si>
  <si>
    <t>8f6a085f80025020794091c3e803c6ccd7aa301764ab35da1a3d079ed172e7f0</t>
  </si>
  <si>
    <t>212935b96c942d84b551ffb878cfd1de18036ea762a847460a265cc5b5971e90</t>
  </si>
  <si>
    <t>4a33cace2a1da8b130d4e6c1a06e5e0ea1a4f95ed5be116a58e165c7b53861ed</t>
  </si>
  <si>
    <t>51555a1a155cb3c04faad9bc9358b216d25a5648882aef91da48e5cfe758296f</t>
  </si>
  <si>
    <t>CT TNHH Đầu Tư Và Xây Dựng Trần Gia</t>
  </si>
  <si>
    <t>08d0eaa36630d286cc10299845cecb4a39739ab2df6db0710f3ae437686c6cec</t>
  </si>
  <si>
    <t>2fd2b4c9cac5d1f0cf10afb61f4ac036720b72af5c37dc0f48e18153aeaf08ab</t>
  </si>
  <si>
    <t>06b0d6fe21331777e6c2910db6cb65251e99125c964a6754075953654ae3b634</t>
  </si>
  <si>
    <t>ad1e5a2f186497a9dbba17c42bd42d55397c04137f81b5941eacbe4347301235</t>
  </si>
  <si>
    <t>8fbff90971c399236c70f86aeb7d0b3faf107038b84bae8142f84c513de275dd</t>
  </si>
  <si>
    <t>725138b0f1c859315c0463b0eed200e6541e5909a1f30f615a98e0348db72eff</t>
  </si>
  <si>
    <t>693a087a2173b2fa3218bea17a7d2b56464172cccddc2b7d588ebd54c0565660</t>
  </si>
  <si>
    <t>1723a3b0cdc482c26294d67b26f93d0edf871a2531c013b0467e402fc5aa5989</t>
  </si>
  <si>
    <t>b6b64a43edbcb63866f45f91fd9b4201aed2cb2d6b75ba370198edd515ffad1b</t>
  </si>
  <si>
    <t>be8ff85537736926999f4b1b68986508feca6ae1bfed08708bb48698c865629f</t>
  </si>
  <si>
    <t>59d099bf4709e6243a7b7663c5a277246b56af40fb89690e4dbcb21965dafd40</t>
  </si>
  <si>
    <t>d676ce2ad2a75a3c573ec6cbaa239dde9cc6c3aea755a59206b2827363389104</t>
  </si>
  <si>
    <t>8a0be14f44965249e997e781a019d0b27b98fab641c60da25d73e101430c6953</t>
  </si>
  <si>
    <t>4825a251659c25460ef403c65fe72003308a85433ddf8dbab259ac04a09c5770</t>
  </si>
  <si>
    <t>d91548b7b1d0dd8f9a407f77700572f0a9686b08d468598a2dc64c30869445d1</t>
  </si>
  <si>
    <t>6215b09a3e2fa8344643609facc7058893de3a11b8945106a74decdb461b1a03</t>
  </si>
  <si>
    <t>5e557ecd4ea0d50194c9e5c3da955000012eb54bc22ec097b45245c2c440da4a</t>
  </si>
  <si>
    <t>7dca390ddfe39726cb53cf86dd3ed8ba33483cc22439bd0c52d7415d9dc45ca3</t>
  </si>
  <si>
    <t>d6a97548bc6506e314c46fa2b8161ebb8a38f77427b580619153ab69fb2b424e</t>
  </si>
  <si>
    <t>0f0837bebe0c4fff5b556c8a4e55fe8c475545535756411a62abb92303bf2926</t>
  </si>
  <si>
    <t>a2ea9ddad523b9178476f0cc086353e65fc164cc9c1e9c6cabd67b1ee6228379</t>
  </si>
  <si>
    <t>83fa5b652ba6a35c976afc4133941e892c49255d3db12e8e9e09aa90fbf536d6</t>
  </si>
  <si>
    <t>bf72788613c65f9d1501ecad09564daf7e856ae4e61f908bbee02357bb3f5223</t>
  </si>
  <si>
    <t>6f4324bdf1629fb775504d99cd5a6f5a89c46f37b4e9d070cfcd47d12556b555</t>
  </si>
  <si>
    <t>d91ea5df3984d833f4a33ad50e04354d6772a393c15f13042c9cd531322ea468</t>
  </si>
  <si>
    <t>5f1542e21c9101f0c7d06689332f4d574c18cff7bb0c0a2c70ae7febf3a11e63</t>
  </si>
  <si>
    <t>7872011b7b03f30243bb2039e08f9604c0dc51cfa648e122e523d29f686ffcf2</t>
  </si>
  <si>
    <t>b2bc45508dcc67ba08e9e4916c536fb481e583bc72d07330b5cde15eadbd9f8c</t>
  </si>
  <si>
    <t>ecdaa9e5a32e78c2fb3de45b6afdd4f8bd7fb501476403e2aaae364833771764</t>
  </si>
  <si>
    <t>6154cb00f3a1188700cb313d802f2b07f2ad445f038ce29ecc5b4dfd2bcb4870</t>
  </si>
  <si>
    <t>Ông Hưng</t>
  </si>
  <si>
    <t>07504eca6813f3c39d42f8e60b68a2c4bd182b8a7b44df7735d8b995db9e11b8</t>
  </si>
  <si>
    <t>6f0f11b1cd4e8a1c3c07246b79ec1fd2c2fb5cee687d15f89e5a267e9994917d</t>
  </si>
  <si>
    <t>469c2d0e40a4cfdfb6bbd354999535a9a7b63f9d816fad9b1c247c812bb84682</t>
  </si>
  <si>
    <t>779d7723c8b74afa8bac13d42cb181461468847dcebb120a1a4472638418e3c2</t>
  </si>
  <si>
    <t>0912baee0e2e1a424abb894c710e21c06fec01b266ba09ee0a85f0b66e18b3c2</t>
  </si>
  <si>
    <t>CT CP Tư Vấn Thiết Kế Và Đầu Tư Xây Dựng 868</t>
  </si>
  <si>
    <t>e89651a71a5faaeab3fd8c9e8e79400a1d2139e2a7899016697a094612827b82</t>
  </si>
  <si>
    <t>a4747fd7eb44a3b3733fe0019e195893d3277807d94853ece71cdbeaf2d43d76</t>
  </si>
  <si>
    <t>bcc18f3748ba57893adc8baa08eb0c495ceb1ad17b804b44689dcbe24be113e2</t>
  </si>
  <si>
    <t>3a298c4a987a76d66af01253e5e15c63c8c48ebcb2db59a22c44ba78e4c659dc</t>
  </si>
  <si>
    <t>3c94ee57f72ecf9ac21a1290cbe6488e5521f7aeb05bcada0a87dfdacd70a34d</t>
  </si>
  <si>
    <t>d11da3c22b6373be87df6a64cf6ce29d25a72cce1f3a4ff723919cbb0eb4b867</t>
  </si>
  <si>
    <t>47a7f23da499e7618a61d71c8fba05b7f3579325a4dcf6ccadd4d2f43391e25e</t>
  </si>
  <si>
    <t>724845f98cb49952ba9a609e850ce14bb60451338ee268e8be2bbd4563c71a68</t>
  </si>
  <si>
    <t>CT TNHH Năng Lượng Mặt Trời Empire Việt Nam</t>
  </si>
  <si>
    <t>4d8f6bcd792744acb1723ba90136668300cd76298a6b2e5f633f50ba8f2a659f</t>
  </si>
  <si>
    <t>3cddeea6ade46ce6746527dadb88e3b9445c4cd62c671f2264855a4e73d49a13</t>
  </si>
  <si>
    <t>09fef62bf7f27a48175d82155c69ca076719d5a5bf48411c19592a62b45e9d57</t>
  </si>
  <si>
    <t>677f84c2786262e7ebf9d27531c5a8e762085d42861e0a0a3450bef6f851a328</t>
  </si>
  <si>
    <t>4766fd38fba956bac10b1ffd7e484713046845ee3cafd2257559ad6e650ffab6</t>
  </si>
  <si>
    <t>7bb715508435fe6b8e10b901ccdc669b3fdb955e82f06332cf669d24e85666a6</t>
  </si>
  <si>
    <t>5c2ac95c2007b74e8025fbe8de82e3c4c51c9db419ee5040600245ad27a4e8d3</t>
  </si>
  <si>
    <t>94f4e016e8ce4f194f91b133c74417b0e25f1e935b200040593e1e6a5683c91b</t>
  </si>
  <si>
    <t>1ccea3ac99ca537e94d25af8b8edd25482197f8fcc9845c0edd172f87937465a</t>
  </si>
  <si>
    <t>c457403b424cfc6d5d0ae088fe12cf8e3de2ee70320dd0eb1e25639eb8ef5033</t>
  </si>
  <si>
    <t>e3c11dcd0e69a404dd84b0ca84432da0d824e1f76b788da83b0b8a9a9587edd5</t>
  </si>
  <si>
    <t>93cf44d795bf7b8235720b214b290b011d1c401f8271a5fdcfed45cbd477c275</t>
  </si>
  <si>
    <t>ea594d757f1a97edb0e78660133137196e524fadee930fc6760b4adada3a0843</t>
  </si>
  <si>
    <t>e5e127541568bd4b443f1b8108e3d8471948fe81a97fe95dff5c7a5b41b4bbfa</t>
  </si>
  <si>
    <t>8c30db1999529ea5147ff40cc9b9a8cefc7d7e3d364ef2069d51d964126d5c51</t>
  </si>
  <si>
    <t>22e213b0a117b76ab40259b3a592910c3ccf7a777b951263cbea736f6ce9731a</t>
  </si>
  <si>
    <t>76d38f2369da142eb9c777af81e15e650a840f6359683a041f7bc63a0f2c0347</t>
  </si>
  <si>
    <t>66b8adbec5e7cfd9fdb1832de7a353ac22a72a3a29cf285ce53dc0f716003974</t>
  </si>
  <si>
    <t>f05378496741c1f50aea1ea0f7571ae54f90b820bbeae04bc47178468b5f9804</t>
  </si>
  <si>
    <t>d686b2a54d388ec651a65a8b8fc7214615eaaa3cf3f4ca7916791e7a4b0943c2</t>
  </si>
  <si>
    <t>ebb636f03fc578ceb5866090f415fa2b199022d52f5d36344d7910a9f164c179</t>
  </si>
  <si>
    <t>fcfc723f7310f9749db427cf7edac9ad5d44083ddb8e56284dae80c52b2de9bf</t>
  </si>
  <si>
    <t>6493d6724ffb3a0f60ad76a7d01076df9831d5cf4368809c65eb91d86c48c7f7</t>
  </si>
  <si>
    <t>42d3c0129c382b56d51d14bcad985cf525fe6d96c8ab9de42ba9027f14b22d20</t>
  </si>
  <si>
    <t>e1bfedf3741a770f17e900b9867d367fb4b006baa8979a5b4f40b1c4f71961bc</t>
  </si>
  <si>
    <t>e8580e278bf6ea809ece0f2b07a4b1464fe5a9c92fd02c56f37efd289a275563</t>
  </si>
  <si>
    <t>d1aa80986fff439c2f4ac7acbbfdb07694c0b96ee283e434d06da8fb7859ab7f</t>
  </si>
  <si>
    <t>92dc4c151388714fadd6b3f2cc646ade95d51cbdee4204d209e4a038ac2d8d27</t>
  </si>
  <si>
    <t>42425d84a68239e79d5ff3305c1e074dbd43c7e33ad5cd54e605975ebfc2ad64</t>
  </si>
  <si>
    <t>342f1dab0bc0de6d7925b49485878ae86e6149197f1befed11220d25d37f2a57</t>
  </si>
  <si>
    <t>588e119b638c90aea49fec2bcc8a8d63c3a9ea637ef0a6a9b3784e78d3aba4ef</t>
  </si>
  <si>
    <t>CT TNHH Xây Dựng Và Thương Mại Dương Thành Hưng</t>
  </si>
  <si>
    <t>890bf1e651aa99381339b0a744580c7cb0ce0136b47677652f64d5d5f3474647</t>
  </si>
  <si>
    <t>a0c8c38107f09b25c0c643d75338a1ff03d6246669b0098a58032506703b2ad7</t>
  </si>
  <si>
    <t>5fd0f21bae673cba782b6393c7366a97c3f198566b42b44e745252de39bbbe15</t>
  </si>
  <si>
    <t>d21dc37045810b548ecbb89f28a505bd013109f9d5008c9a4e04c877b6c4a02c</t>
  </si>
  <si>
    <t>CT TNHH MTV Big Nano Technology</t>
  </si>
  <si>
    <t>06d6608d7945c4b6d77662d3a3b3c91675fc0363d1cd2de312bcb93530e12bfe</t>
  </si>
  <si>
    <t>6753dd84b0c8df31ff1e9389e7c3fa7a29c2b7051ec695914f6a0e736a1724fd</t>
  </si>
  <si>
    <t>716ccc4c100af36ce84711dbe1f8b4265790d60f8ac8d106eb166bc7d935e83f</t>
  </si>
  <si>
    <t>b1ad84ae274a63ace3c85cff2b44dc3653e206e4a42d07c5400970a60893b873</t>
  </si>
  <si>
    <t>813010f7a8b585765681be74084c06855ba1c9a8dcb6346b2fca6279b4713392</t>
  </si>
  <si>
    <t>5529b6cedbb861408a21aae8d1a2e9c1e9bd8316729b3d159d81b2fb02fcdd58</t>
  </si>
  <si>
    <t>bb307e6795f6f0db68379ef7e9628523cd02e32f906835c770863ac6cc6668ac</t>
  </si>
  <si>
    <t>c595a357d14bed620b78a5bce38695239309ced39e1edd5eedf444081b9ee886</t>
  </si>
  <si>
    <t>2364811769d43c3bd3476d1dbb08485476e9400ecc7c82c0ac66d41acb06ecd9</t>
  </si>
  <si>
    <t>d87baaca2115cf3a43028bca6f3bddf8a4eb6287d7aafe592fdd4a81d4800f57</t>
  </si>
  <si>
    <t>2018c5593a15f84e3b1d7ac64d1aefc240274f8e1e1260f76b341212c9a92e50</t>
  </si>
  <si>
    <t>4f2f0084e38d1d371b70120ba60545c67b30d680b124d3ed164ad77bececd90c</t>
  </si>
  <si>
    <t>6f3c70a6bf7ccbb3d05455f5bcb65f8fafbcc9cf19936b580be5990e81a6d9a2</t>
  </si>
  <si>
    <t>5dd79ab46e92fb4dcd2eeb7dd6faefe22f952bf620d11631d0a0bfc787b183b6</t>
  </si>
  <si>
    <t>23a54aa32285055f512230ea28674a73b99258e06db01a56d75d4fde038173e4</t>
  </si>
  <si>
    <t>02d707dfc348e82b5d736d87944e4a3e6bf845b2cbce6fb7ce665dc740fff5eb</t>
  </si>
  <si>
    <t>7d3b413f007ff80bfcc47ebe977ccecdcdacc7a26bff6c947bfdb2bd1444c63e</t>
  </si>
  <si>
    <t>823c7745b8a4daed1c86ff0db4839c007c3217bf6f8696f2c2e80c841ac7dd7a</t>
  </si>
  <si>
    <t>798b5cdb651f664c7945299e7a6300248f00b2e178b166e389ab74925682d980</t>
  </si>
  <si>
    <t>c5ab8b007bd8ff015559c7fbe0490dc4d54effbc5ac169bc7b11914c43fbbba7</t>
  </si>
  <si>
    <t>db2b72f88c34025638d5c19ec9691462a484991686939c4af9c6a5f0ccea3a78</t>
  </si>
  <si>
    <t>85ede9fbe33ef5f5f6902a84c8ed512f1e4925dc0a02241e1cd5c3603b769284</t>
  </si>
  <si>
    <t>51189ad1c1df1379e96dd7e87af07aeb38d36643029fc729fa3b11667ce3d690</t>
  </si>
  <si>
    <t>d2b122e37c8312c23ace0e598a3697513eccfad97b4e02f704f2cd15729b8fc7</t>
  </si>
  <si>
    <t>c48413b643d9f2b07ab80e2ab63e5f76f39cf5e67ddb293f8c5535e6f146c1c1</t>
  </si>
  <si>
    <t>7d22b6df5aa7943994dcea0288abbefe6e149f362b33f48b95c1f4bdb3352ec3</t>
  </si>
  <si>
    <t>4500cf9c629b109f9bc66b8fcb2bcae0af5ab29817a57303b1c9942ca4f92efb</t>
  </si>
  <si>
    <t>49f860822e1ec80c6a0ec7e83c13b71e6562e771e13e99e09439b0e2dbf1bef8</t>
  </si>
  <si>
    <t>0add22f9d3cc9b18e77689719f24ed0357f04d5d7c643656f4918a36310d85e9</t>
  </si>
  <si>
    <t>61a0b1591d9d2f8a5be1dae0091a8619abed5d23ddcb7eb6e2963d7f1136642d</t>
  </si>
  <si>
    <t>911faf336ff925f290f8fc0708c9232622a1723dc525d1f33cb67e3db237caea</t>
  </si>
  <si>
    <t>499c93a598f2f786d815a368bbb2a89f94598b978ff20acd178db1c81da5a477</t>
  </si>
  <si>
    <t>f2f4b74d296183be6d3250126ae4b2f11c4b5e80a5a309dd5ae463c548f7b153</t>
  </si>
  <si>
    <t>8aa4fa7bf49d53ddd6031903120f55f20018239d7ec426d5f81f67182f48bbe5</t>
  </si>
  <si>
    <t>6318de3403fb0108c6fc1e2189926faf51dbe3f78097389055fc63f47b072827</t>
  </si>
  <si>
    <t>fece931245e2a0b792f7981f88cbdbbeba5538afa27286baa72007b45ae74f70</t>
  </si>
  <si>
    <t>31af5adbb71de599608383e19af021fefdf2b8e4ae969bc4ad8efb510426d0ad</t>
  </si>
  <si>
    <t>ea4c87e188b20eaa91564f8aa3ed1df3134dd592c9cfa22c573ecf99cbbba392</t>
  </si>
  <si>
    <t>ba1ee881d76f28c9daaa79720b11185ac44b095aa3878b3befcf29bf20a66db6</t>
  </si>
  <si>
    <t>32e15fd8de5d24321370f8a6c3e48b10cd9e93ecf0e0863f0146acfadedf42ef</t>
  </si>
  <si>
    <t>8ef268fa793a2f932f05570983af295ed383d357cc22509e56545652dbf8aa3d</t>
  </si>
  <si>
    <t>19596b0bd374f4d040b0e96dd10705629e40f85a7c13844c67e0703a50a62f13</t>
  </si>
  <si>
    <t>9f6fda797fb6968a37d9009f464f4a57cbf1d9086106276eadc226b4069241fe</t>
  </si>
  <si>
    <t>f0bde901a2e10431be72c35145af880ef439e96e6e740c9fda2a26a6965879d1</t>
  </si>
  <si>
    <t>57972c7eb5f5b7a3fe5436deed99ef78ac54008f59790d6d81d8f017f961bcfe</t>
  </si>
  <si>
    <t>Lương Quốc Hòa</t>
  </si>
  <si>
    <t>6e0393b4f5b1356d2117c095c4f3e1755115623bff9e1ff7790ef5dfa936fe9e</t>
  </si>
  <si>
    <t>e6421b1c51a3fdda84482b8eda32dddebd430b5802d134bb4070bcda3e81a755</t>
  </si>
  <si>
    <t>c2689a5cd1475c75f9218d39036cd5465dd70e36cc41926478fcce5f8ef7e6ec</t>
  </si>
  <si>
    <t>ee484d997b2d45a4a4fe362a487bfd42eeef27a20f50a82a3ab44931984a444d</t>
  </si>
  <si>
    <t>30cec944ba502dd9d952878eb9c744231b0465ae96ce5471c213d667e5e3ec7e</t>
  </si>
  <si>
    <t>a651eb6bdc5903476c94ed2588bbf4d9f482603e1d87fab5c7ca97673e40dd94</t>
  </si>
  <si>
    <t>a9dcfa5909b0ab190419df833705098cc6be1d8eeeb09e2f8f571cbe3b4c606a</t>
  </si>
  <si>
    <t>8f43c01b0d43ea77f5dd924f2d3d07447af2674b99a9561a5b31fca2e434292a</t>
  </si>
  <si>
    <t>869961e1e49649d51add8515e5eb9dc5144c412a16181974754cc56a99bc5d99</t>
  </si>
  <si>
    <t>7e03494de9ce89c7220b48cb8aa20512ef2b56993cef0a5a26b63883e6b7bda0</t>
  </si>
  <si>
    <t>9ed70fcc076d5e494c323e8738273208c75ed361c099abd5b62fd1038e3215f4</t>
  </si>
  <si>
    <t>2bfe0d7a3d8c4be279ade7799c705ec96b27aa460eff601d02b243689b5fa50b</t>
  </si>
  <si>
    <t>ff11cde44f6e785a713bd7bca24ad7d01ca67ee71b752f52a9cf51de27855d03</t>
  </si>
  <si>
    <t>CT TNHH Đầu Tư Xây Dựng Và Thương Mại Th</t>
  </si>
  <si>
    <t>0691dc190476d0ffbd1b7978a202df78b6162815c24adb360191735b9606f633</t>
  </si>
  <si>
    <t>c8c9c4e9dd85f88d009d8d0328b43eecad754d8dbd24a3036564b02af98ff4ea</t>
  </si>
  <si>
    <t>f71322aaee2fdcad274314728a034511da12d3df062906863a10876383b9b204</t>
  </si>
  <si>
    <t>e7dadca3b0988363224b098d220d055652bec56b8bd32436bbe1819e8900c58d</t>
  </si>
  <si>
    <t>f80912ac79cc768f23cfba120aeab21cd0360211e2aa0cbd1f238c6965d54d2a</t>
  </si>
  <si>
    <t>74876eff59403844f70b70b43560d5cd661ec56a771506c060c9fd6b43eb1547</t>
  </si>
  <si>
    <t>38466be92d4abccb86c8f4cc62389e1f0d8e2edf5704ee7ea4941a747eae785a</t>
  </si>
  <si>
    <t>dd994266a2f16fd011e8b505353b32b17ac1bd8272b07afa2afdbdd8bc00fd8f</t>
  </si>
  <si>
    <t>CT CP Thịnh Vượng Tvt</t>
  </si>
  <si>
    <t>9cd7ef12c71a5031f39d215bbac0a010ccf2c8b8d772e34201cce688dd5e1f75</t>
  </si>
  <si>
    <t>CT TNHH Thiết Kế Xây Dựng Và Thương Mại Gia Phú</t>
  </si>
  <si>
    <t>47e744a1b03a2c512c5f1a89a8dde61291d1382539780b1b02d936fae5f1ba24</t>
  </si>
  <si>
    <t>f662ade90afd5edde05ebb9f58a68a36afcd6cef92761cd34a44f771afa4135d</t>
  </si>
  <si>
    <t>66ea0454aa3edc8941957a12e28a3dfd86028516cb21254654b411da3c2a2625</t>
  </si>
  <si>
    <t>db2a5ddaa906fe6296de0e00d89e8eb0b3e1a1e62ec83ec08d92838d6bc82c7a</t>
  </si>
  <si>
    <t>2fa1d171019788ec8d89c57b6e27dbb5e6d382211f7eae57b776dedb798f7142</t>
  </si>
  <si>
    <t>79f5c0cb6e878410f5ac1f5c5d7071f6249c53672e568fc100ee0f6103b50082</t>
  </si>
  <si>
    <t>257f9a871a568337d1174a778146f2362d652ba79a97c07770489f6178da25de</t>
  </si>
  <si>
    <t>de2c73263d957940cd06bc35481a2de8112e4d4661fdd6ed8bc35bdbeb8c4dff</t>
  </si>
  <si>
    <t>CT TNHH Xây Dựng Thanh Tú</t>
  </si>
  <si>
    <t>b1023f9467754867258e9e04da7322c61e0467e7700c98757809a6417e4af6f7</t>
  </si>
  <si>
    <t>81e9ef327e3b1460fca5f48f38c69cf6eb10175af3db6eabe3584deba097f50e</t>
  </si>
  <si>
    <t>230b3bb0a42d8e5f0f9b699b461d587d550f174b2c4764e4760b4557faa4c63e</t>
  </si>
  <si>
    <t>0bf687628be1ccb44aadb3fbbc3a67d7028700db27fa12c4b526e1ad37fdc422</t>
  </si>
  <si>
    <t>41c1ff7f2a76c1d7063647e92eab2132e2fa3b007769e877d9a0d7d0ac7852be</t>
  </si>
  <si>
    <t>af07f1495172043180179cff69701678090a81b993287c69df6eb74bdff25fbe</t>
  </si>
  <si>
    <t>ea997b7f9ff82325ca5bcb5ff2c34cf085dab9df79206870b896bfcc740f53f1</t>
  </si>
  <si>
    <t>0aeeda35e16544fe1591b71bc1a00c5c33a146282c635af51c6c8e7df437fcee</t>
  </si>
  <si>
    <t>CT CP Tư Vấn Thiết Kế Đầu Tư Xây Dựng Gia Huy</t>
  </si>
  <si>
    <t>0d00ebe6af8d13bc6ef21f5a87d5241ce70898c87e49506b3d11bd7dd79a3073</t>
  </si>
  <si>
    <t>57fa1d2872c43e6e5d8bcdf7f98655d9296f16cb5b1bc12b12ef16f49fd19915</t>
  </si>
  <si>
    <t>CT TNHH 20-21</t>
  </si>
  <si>
    <t>9c5700f1bd20098ed0a2a9d07ed469fde63e7d9ad2d46c9fe35c69bfb58e7d7a</t>
  </si>
  <si>
    <t>b6271b81bd6db266fa7942cde2e8f461c213fe257ae6f282019af85ddaf87940</t>
  </si>
  <si>
    <t>f9078390a4f4ac9464fa4df02cf2af86c89d80018856a2c601dcbe208860e0c8</t>
  </si>
  <si>
    <t>Hợp Tác Xã Môi Trường Quỳnh Trình</t>
  </si>
  <si>
    <t>dc0996de54d46ecc6e9dbb46b59b97149b4ffb3e96992bb7348a879ad168587c</t>
  </si>
  <si>
    <t>CT TNHH Haiyang</t>
  </si>
  <si>
    <t>926dcda1ad3366a72b3216cc362fb8af3c476f5193fb65b2f9d009cb6ee1c7e7</t>
  </si>
  <si>
    <t>CT CP Sản Xuất Và Thương Mại Tín Thành Hưng</t>
  </si>
  <si>
    <t>Thép tấm cắt theo yêu cầu</t>
  </si>
  <si>
    <t>61eae8e6468b7e3b38a4e68059ae3815cafdbbd1e0eb49e0c5732ff6e65f8d0c</t>
  </si>
  <si>
    <t>CT TNHH XNK Thiết Bị Công Nghệ Cao FDI</t>
  </si>
  <si>
    <t>Thép hình U120</t>
  </si>
  <si>
    <t>e37548a38d298c2cd02ab96e17546ad0c70532d64ba078d3545e1fccb23bcc04</t>
  </si>
  <si>
    <t>Thép hình U100x6000</t>
  </si>
  <si>
    <t>70768812e68e5eed18f29789f47b906a782ac1c678631836c98e9c41d4b5289b</t>
  </si>
  <si>
    <t>Thép hình U120x6000</t>
  </si>
  <si>
    <t>5505de878af03f3aadfad1a1d1e39bf6a9c7025f1cc77c7aa2f2fe7305fb86bd</t>
  </si>
  <si>
    <t>Thép hình U160x64x5x12000</t>
  </si>
  <si>
    <t>c83ae41cbb1607fb6286dfcc6074107d3c329bda394a2f22d929a5e8c79726f3</t>
  </si>
  <si>
    <t>d7fcc31f69b400178eb22d7ce9af6c6eb2711328f1f73ac234dba2424ca65fe6</t>
  </si>
  <si>
    <t>Thép hình U60</t>
  </si>
  <si>
    <t>d631f9ce70955775c8ad24cd5098b47bd7be8e8dee777999fd0cdadd0ef380b1</t>
  </si>
  <si>
    <t>Thép hình U80</t>
  </si>
  <si>
    <t>8969bd6893081a606d0e90af4c1375ad88f546e839464e20c1dd694fc3ff98af</t>
  </si>
  <si>
    <t>CT TNHH Vận Tải VMS</t>
  </si>
  <si>
    <t>8bec62893050ab27e06d895dec4f5a83ecc10ad60b04c180ec1ddb7e50a8102f</t>
  </si>
  <si>
    <t>Thép hình</t>
  </si>
  <si>
    <t>5350c4a2c90783c9a397818bf65389afd3432af0c236d2e69a9d2d557639d360</t>
  </si>
  <si>
    <t>Thép tấm 8mm</t>
  </si>
  <si>
    <t>3b90dafac2389c61f35fe7aa5cc1d0beb3fd1bd920639d66ab5cac4943d5c8b2</t>
  </si>
  <si>
    <t>Thép tấm 20mm cắt theo yêu cầu</t>
  </si>
  <si>
    <t>9987a1f2c01efc30a2c26131372965a1974397339d164e8493deee908b4ab215</t>
  </si>
  <si>
    <t>dcc31e200a81d69d6e571508ec858a72f9f9cb76aded38d956e19ac416e1ed88</t>
  </si>
  <si>
    <t>461d8304dc0c4497fd9a758b1503d5d598715f7d2cfd5fb1ce33aee3e43bcd75</t>
  </si>
  <si>
    <t>THÉP HÌNH CÁC LOẠI</t>
  </si>
  <si>
    <t>412cc4b7509f8921d3fafc9becb7a72a170f5a7991976e3ec6d639c7bafd289f</t>
  </si>
  <si>
    <t>CT TNHH Dịch Vụ Và Thương Mại Huy Thắng</t>
  </si>
  <si>
    <t>063d164b6f23e9ae73e53f334b1bd581fda379d239ef65ae151e8e20b76c24fa</t>
  </si>
  <si>
    <t>Thép tấm 10 mm</t>
  </si>
  <si>
    <t>13e3d2df2df42bd3c16f0b55075a279b11afb13c74a835d0b13896dde5d2c308</t>
  </si>
  <si>
    <t>Thép tấm 14 mm</t>
  </si>
  <si>
    <t>5b46f611f194d474328a8665279a1dd0076fa0ce8f20797583732e316db5252e</t>
  </si>
  <si>
    <t>db8c654afe1e7ab38db888351789ee416681b3612bd42251edf12b6380f12084</t>
  </si>
  <si>
    <t>Thép tấm 85 mm</t>
  </si>
  <si>
    <t>717975722bfb9ddfff9859611ac58f493bf037324c2c63131a31c54ff03b1e23</t>
  </si>
  <si>
    <t>624688bb62ec79989d8a2ee615ee4b8161deaae0d809032e1c3226ba9a65a628</t>
  </si>
  <si>
    <t>83909fb218d4c385595be142c07b4784efd5a903bb8d378448cad90103dfb624</t>
  </si>
  <si>
    <t>Thép tấm 10mm cắt theo yêu cầu</t>
  </si>
  <si>
    <t>4b7433702cf00a666aafd96b377f149bfb9cd828ff641d84106febc296d20388</t>
  </si>
  <si>
    <t>Thép tấm 5mm cắt theo yêu cầu</t>
  </si>
  <si>
    <t>3d3f511b6658e4afbeab4bf8362029a0575c3dc9175e44da90fdcc03e68aab4e</t>
  </si>
  <si>
    <t>Thép tấm 10mm</t>
  </si>
  <si>
    <t>1cdd4cff96dfc7f13dd246ed089d14ca6878828c7f800a0f58406a49472e04bc</t>
  </si>
  <si>
    <t>CT TNHH Sản Xuất Kinh Doanh Thương Mại Tiến Mạnh</t>
  </si>
  <si>
    <t>Thép hình C140</t>
  </si>
  <si>
    <t>7af566dd62e643682d8ebdd08a3c717d4fddcbdddb6ff3c3dd3dc491acc94441</t>
  </si>
  <si>
    <t>Thép tấm 4ly</t>
  </si>
  <si>
    <t>6e2db66e2474d8f0118549aec5333718bd178e6ce55b405f3f4aac196e0b42c7</t>
  </si>
  <si>
    <t>Thép tấm các loại</t>
  </si>
  <si>
    <t>7b0ef105d1f473c836b503264e3609282c2ba32a2f379644ddb05c29be4b4664</t>
  </si>
  <si>
    <t>CT TNHH Đầu Tư Xây Lắp Hoàng Huy</t>
  </si>
  <si>
    <t>73162f72f0d02b2e546a6cf46fb43b59ced6a38256a883a652a02d438e09dcc6</t>
  </si>
  <si>
    <t>f0aedebd268edc405d81554bbc053e2d06eab7d8958c87f377b2cf6f7a903e39</t>
  </si>
  <si>
    <t>2ba385bfa4479f175f81bb569806bd5a83f15f715f3cc396368d28521a0bbfc6</t>
  </si>
  <si>
    <t>3d609514c6b9f2d95b40eab21129faa96f22168e914ea0634e863d1459e6527e</t>
  </si>
  <si>
    <t>162f0d08b61d6376a0b10d3d5300c237ab24327a1ef09be4909bae5272a247b3</t>
  </si>
  <si>
    <t>c1dd5a75b7b8a914b25d4f48c93f7132f33bfe7c18cf7e5e53e364fe164b96b5</t>
  </si>
  <si>
    <t>Thép hình các loại</t>
  </si>
  <si>
    <t>695b2a3d1467ba74dd96d4395025dd988d2ed94cae301f0862b5cc3745aec1b9</t>
  </si>
  <si>
    <t>CT TNHH Dịch Vụ Thương Mại Phát Triển An Hoà Phát</t>
  </si>
  <si>
    <t>3e6f2d3064ce286d07b65f2dcbdc790d30bf36c60aa546c5498bb8c1277839f9</t>
  </si>
  <si>
    <t>bd90b72827c1bc9ee2e8042b917eea7f46922dc86cb6d4d17f8e7d9d44e777ae</t>
  </si>
  <si>
    <t>7e28ddfa23a75e8897a650b618a4a39c46dc2c00a2ad9382bac8e192e0b07183</t>
  </si>
  <si>
    <t>8a4694a7eefe12454b2b60527cba506f887de140144f35fbb28e64fb244fd80b</t>
  </si>
  <si>
    <t>CT CP Thương Mại Và Đầu Tư Xây Dựng Nguyên Phát</t>
  </si>
  <si>
    <t>cdda2665dd7a975b1a9ce68d0701740f1abde27111c0b738770127394af67bd1</t>
  </si>
  <si>
    <t>b98dd4b08b64eb7af547bb300f87df3e5f0d484da4ae71842d4db0829645ee58</t>
  </si>
  <si>
    <t>95e4d83704bbfb0f387c43e8e987b8c0c869149c4ed71dcae915e7593ed8886f</t>
  </si>
  <si>
    <t>86bc6c8cdbb96ebedcd6c285c0af4e40aebe05a3b21863248ea84de8da9819ea</t>
  </si>
  <si>
    <t>4670affe9cf10006519e7da9b4c3b1f3e78613651b76e98a566caa980fc1057e</t>
  </si>
  <si>
    <t>81547544ceb41af309929882fad60daeddeecfdf131d606d12d8ae0d52114ec5</t>
  </si>
  <si>
    <t>bff3357d389caff822433e77fb8a0ef0df172883aca80fec0360060c40b83c87</t>
  </si>
  <si>
    <t>037be43aba0116237fed3b19009f1fa081adb261b4c7b5a367d34bc0142283e1</t>
  </si>
  <si>
    <t>88babfb13ddde424f70197a26b8b79e873306db9247674091be8892647eb049b</t>
  </si>
  <si>
    <t>CT TNHH Thương Mại Và Sản Xuất Thành Đạt Khoái Châu</t>
  </si>
  <si>
    <t>Thép hộp mạ kẽm 50x50x1.4x6000</t>
  </si>
  <si>
    <t>83595b703492decd5f6bd5c13cb00af5c43a3c8c14b70b2c1d0dc6b90b2a1464</t>
  </si>
  <si>
    <t>Thép hộp mạ kẽm 30x60x1.4x6000</t>
  </si>
  <si>
    <t>c8636e8eb734c46fc0154924dd6444fadce22f9c07cc20917e9fd0102e68b8e6</t>
  </si>
  <si>
    <t>Thép hộp mạ kẽm 60x60x1.4x6000</t>
  </si>
  <si>
    <t>33c70dc920eb7ce334a1b1e05de9426d026dedcd7d4d68f68a4a36cb527a5843</t>
  </si>
  <si>
    <t>CT CP Kiến Trúc Và Cơ Khí Xây Dựng HBO</t>
  </si>
  <si>
    <t>40a08934b8a8948102935d27853689a0b73e8726c8e21fb83069c5bdc3366fb1</t>
  </si>
  <si>
    <t>49d128678f353115ef9ff06ef2aea31cded4348dc0bb89af444a8e3e15fa3097</t>
  </si>
  <si>
    <t>173aa601f12081a0a73d17348140d87e215145bf536122dc4318ba04fc7e575f</t>
  </si>
  <si>
    <t>136fff39cedf29eea54b3f5c0a65eb746b5df3b60b18cd6823e7b7797d2896e0</t>
  </si>
  <si>
    <t>CT CP Xây Lắp Hưng Phúc</t>
  </si>
  <si>
    <t>Thép hình V328x328x260x12</t>
  </si>
  <si>
    <t>8338943cafe6204a7450d87baf9c24d25d71aad6382ebe66a866ad499dcf6af5</t>
  </si>
  <si>
    <t>Thép tấm 4mm, 8mm</t>
  </si>
  <si>
    <t>bac3d0a4dfae9cc5c3e6575479f9267f549765a97f43f0497f3adb09aed4a851</t>
  </si>
  <si>
    <t>5f20e46dbcb7d191e60bfbe6ef7edf9e6f3f335fde4ef94421acb3a774b9e080</t>
  </si>
  <si>
    <t>7bfaa432abb7de00e36584dfa850a382524ffb5786923299b674361fcd5971df</t>
  </si>
  <si>
    <t>6e64eba9c2c4c4ca23a02d7ae33f629c2bf45026b92e867f1b3121632063a399</t>
  </si>
  <si>
    <t>Thép ống Ø 165</t>
  </si>
  <si>
    <t>a3ba9ca9e72dbcf143570dcaae4285fc8d8e9f483ca0f8f7d52e55b2d2b5efa4</t>
  </si>
  <si>
    <t>Ống thép mạ tròn 75.6x3.2x6.0</t>
  </si>
  <si>
    <t>c85765135ce8d27c74bde78cc63667223083634d799cad8c102b8746ae4c46d9</t>
  </si>
  <si>
    <t>Ống tôn mạ CN 40x80x1.8x6.0</t>
  </si>
  <si>
    <t>61c510469de17318d561e9a376ae9e4e98dd697d8612da86d4d8cde13534e123</t>
  </si>
  <si>
    <t>CT TNHH Đầu Tư Và Phát Triển HACOM Việt Nam</t>
  </si>
  <si>
    <t>4d0ecdb0556a2d1d7cb2e15fc26f030f183b1c02f3320043f1514c525093d20f</t>
  </si>
  <si>
    <t>626b0d3625cdc5dc607a14d3caad7602e52d26a0284b10ddd24d853cec8e366c</t>
  </si>
  <si>
    <t>81fc75e9051bd31539fb8ef0dd92f288035632cee8de1135367cd1dd5e198b6d</t>
  </si>
  <si>
    <t>d4ae61fdf902fa1036653497943a726e10666323e0a7b31fac5a6d6dad7e385d</t>
  </si>
  <si>
    <t>0e21c64f77eb72399720cdf73998ec45fe74c703bb5c8ff9ab255a85d3791e45</t>
  </si>
  <si>
    <t>CT TNHH Cơ Khí Xây Dựng Và Thương Mại Dũng Phát</t>
  </si>
  <si>
    <t>Thép hình U100, U80, V40</t>
  </si>
  <si>
    <t>a5bd6a81b7658829f62cf382e4223d51dfaeb3e5f6e1db525fbc67bec0854da7</t>
  </si>
  <si>
    <t>9a6ab819ffaedaeeecc37c0a92fd650f738ed2739afb27333fbc47633e1475e8</t>
  </si>
  <si>
    <t>CT TNHH TMDV Sơn Hòa</t>
  </si>
  <si>
    <t>a52d68d608c57e8d5454fa6b8013f4310c1c27269cdc8e77c63fa7a55e05a30b</t>
  </si>
  <si>
    <t>CT TNHH Khuôn Dao Đạt Thuận</t>
  </si>
  <si>
    <t>35df1f62ea067bd4d95938b918bc6dd11d079585db72c12f15b011b1818f1276</t>
  </si>
  <si>
    <t>f2cfb966092a158932badd3f85c191996e367953c3e70f6c2f443e6a173d6487</t>
  </si>
  <si>
    <t>295d0b547d9be4eb4f1d257a61c87f37c6212f25319ac7e1ea4f34bf2d858578</t>
  </si>
  <si>
    <t>Thép hình U80, U100, V40</t>
  </si>
  <si>
    <t>fdf7fb6ce4c836a9e91b1bcfe752222e3a9143f697bd69f4844123ca7e7bbc54</t>
  </si>
  <si>
    <t>1e556232ccea0ef789f6617ea4887bc3222bd90b1e37a10623abba640c332cfe</t>
  </si>
  <si>
    <t>1865033a8a854344bf85f7419307a659e817966e46afe0a724deaac6a36ce87f</t>
  </si>
  <si>
    <t>CT CP Thái Bình Hưng Thịnh</t>
  </si>
  <si>
    <t>Thép ống ø34x2x6000</t>
  </si>
  <si>
    <t>b1d448f4d7275d463091e86ebcd7af4f0271fff9cf90100beb2dfcb5b73621d8</t>
  </si>
  <si>
    <t>8a474f8152342fcb92acd769576088c948c782a2e2000e05ddcde3283f84ed92</t>
  </si>
  <si>
    <t>Ống tôn mạ CN 20x40x1.4x6.0</t>
  </si>
  <si>
    <t>92919954f241a71de8743d51079020a5de5864dcea61c9dd61c1b8416adc8837</t>
  </si>
  <si>
    <t>Thép hình U80, V40</t>
  </si>
  <si>
    <t>343ba8e01bca68f52cfb57508043787090e02576c0a7310786f0054ffbbc2880</t>
  </si>
  <si>
    <t>Thép ống đen 59.9x1.4x6000mm</t>
  </si>
  <si>
    <t>d9c7974c306e9d4b4abedadb5b1dacb35f726bdac7ea1a6d852307368fa0c6e0</t>
  </si>
  <si>
    <t>Thép ống đen 21.2x1.4x6000mm</t>
  </si>
  <si>
    <t>6de6a0a2a4521e925363f912fe93ed9e59ccda9d77ca292611958cebf93c83d4</t>
  </si>
  <si>
    <t>8ed50e47047e12cd9fe89f97bd1d42471a26ec78c434e9763bc8ea6279aa0f29</t>
  </si>
  <si>
    <t>Thép ống đen 21.2x1.4x6000m</t>
  </si>
  <si>
    <t>949504874916208f0e1bcb153f229cbd15fda1ba52f99d82e7313ce8ea572a13</t>
  </si>
  <si>
    <t>70f3c412d1868603bf7836ccbf666556ee199fdd9dbba7172b93e707a55dd7a6</t>
  </si>
  <si>
    <t>CT TNHH Anh Phúc</t>
  </si>
  <si>
    <t>Tôn mạ màu</t>
  </si>
  <si>
    <t>2c76ea00e4b69cb9566e293044084c78a0e2f7ab34aa4b9fa1eafdf430ddf376</t>
  </si>
  <si>
    <t>a9be172abb2ada55a0cdc051dc0862f64dcfb7e5c961abc3c5ae5ec97e9f8ebf</t>
  </si>
  <si>
    <t>Thép hình U180x6000</t>
  </si>
  <si>
    <t>0202c9176a784d286b2ec5c7079083023a2d5f79bc5d64271a24d2b4baefcb31</t>
  </si>
  <si>
    <t>Thép hình I200x6000</t>
  </si>
  <si>
    <t>1b3f502a32bd4529eccfe87ca3e35ce341168074128beaee072d42584bb6d481</t>
  </si>
  <si>
    <t>7676cd9f44515f7e8131b53e3b01d6f5d0b2dbc3ed07dd30b1a7be2c11520621</t>
  </si>
  <si>
    <t xml:space="preserve"> Thép hình I150x6000</t>
  </si>
  <si>
    <t>ee536ce2c7b6f241f800e9d22f14f4feccfa14bf34c87445c8cf74e58c5f7f5a</t>
  </si>
  <si>
    <t>Thép góc 40x40x4x6000</t>
  </si>
  <si>
    <t>4ee750c30a45a6f584f1a400a504a41151e4bba0072485a605865b4476836e5f</t>
  </si>
  <si>
    <t xml:space="preserve"> Thép góc 63x63x6x6000</t>
  </si>
  <si>
    <t>a72850b3bcea191f2126d59c577c16bf2b324ba68d902250cd917c317c8451e4</t>
  </si>
  <si>
    <t xml:space="preserve"> Thép tấm 10x2000x6000</t>
  </si>
  <si>
    <t>1269da8e243c84db258406dd89836668c3bdd8809398f36d4a87f132a55986e6</t>
  </si>
  <si>
    <t>Thép tấm nhám 3x1500x6000</t>
  </si>
  <si>
    <t>7b9d62b843af49210ba1182cad323e5cee375b21b330c67f85b17072b97b4101</t>
  </si>
  <si>
    <t>Thép hình H200x200x8x12x12000</t>
  </si>
  <si>
    <t>179abfa36562fdbcd9f03e3fa6a048bc650b16d28038c28afeafe5bca8eb625b</t>
  </si>
  <si>
    <t xml:space="preserve"> Thép hình H400x200x8x13x12000</t>
  </si>
  <si>
    <t>2ebe9e4d77c0f25b74f6255b1d43cc07129a023a2ded5487cfa7a05e87626d13</t>
  </si>
  <si>
    <t xml:space="preserve"> Thép hình H300x150x6.5x9x12000</t>
  </si>
  <si>
    <t>0692295c548ccec3aa496a69bb2f94d7e4e5d0bc84c87ae2d3fc4896c0640f0a</t>
  </si>
  <si>
    <t>Thép hình I250x12000</t>
  </si>
  <si>
    <t>b0d67c0ba6a2cc60215bf681a7bffcf00a71352d512379bbd9d40efc5b75a5f6</t>
  </si>
  <si>
    <t>fd9187abad76fb52cb3d9b1f3a78137999ab223f7fb6ed9257cc3efb18e0d13f</t>
  </si>
  <si>
    <t>f98e5fe62443017a4c93c7ebd5bda128af9275168af7ef0e8450c10bdb325b0f</t>
  </si>
  <si>
    <t>Thép góc 63x63x6x6000</t>
  </si>
  <si>
    <t>ffef17ca2f4fe5d75ebb0d9488a6b9541223c848353a5481b346794af6df172a</t>
  </si>
  <si>
    <t>Thép tấm 10x2000x6000</t>
  </si>
  <si>
    <t>3dfd62a5c7dbf209a21963bb447345ba95f2dc61c1d8b059839779012faf4368</t>
  </si>
  <si>
    <t xml:space="preserve">Thép tấm </t>
  </si>
  <si>
    <t>b80d97eb8ca10fb40b2747ad79b5c96d02a767bbc870efd7ad39c19af68ba3db</t>
  </si>
  <si>
    <t>db8e73ca050fd75c54a59c68427db11ac13f6de0039243f910c2fe417e3dedf4</t>
  </si>
  <si>
    <t>68cd6117d9ae78cb132345721e46a324230524238070b8b39692e55074e314fc</t>
  </si>
  <si>
    <t>Thép hình H400x200x8x13x1200</t>
  </si>
  <si>
    <t>cafd79a90f82389c61d5ceef6b3414f0019cb38966bd3084596e713ab370c335</t>
  </si>
  <si>
    <t>Thép hình H300x150x6.5x9x12000</t>
  </si>
  <si>
    <t>e2921014c8b4018c47ad39846e0d4075dff5266e02775206329efe7b800b315b</t>
  </si>
  <si>
    <t>dc9aa6e01b1cf91853e5c0aa01864cf03cfe10657f5d561864c1b9da1b08243b</t>
  </si>
  <si>
    <t>70d149b198ef4c3c9cd5baf71c04fd41df0fac75bdb1902f4b702db9cad27ec4</t>
  </si>
  <si>
    <t>82c71c44d17e609d34483a6f1230b4036e303b71be29397aaaf46aeefdeaf80a</t>
  </si>
  <si>
    <t>Thép tấm nhám 5x1500x6000mm</t>
  </si>
  <si>
    <t>e71ce4afffe27b2b07db36b3f0943299e8aea42515ddd887d8ee0fd0b81d1e52</t>
  </si>
  <si>
    <t>Thép tấm 5x1500x6000mm</t>
  </si>
  <si>
    <t>9a2a0e643217c46fc71fa4afa1ca3a2d0f8cb88445b205b2f0089b1ed5cac530</t>
  </si>
  <si>
    <t>Thép tấm 6x2000x6000mm</t>
  </si>
  <si>
    <t>2288d7a1d240b38d7d33edd3b9e92848d3d8f0ac0b177ccbfc037fa03f21b408</t>
  </si>
  <si>
    <t>Thép tấm 8x2000x6000mm</t>
  </si>
  <si>
    <t>ed7b0cb012f97a2138912020b7460294f52a4d1c71ca6ee9ee9e03ab4efb37ff</t>
  </si>
  <si>
    <t>CT TNHH Dịch Vụ Và Thương Mại Dương Thanh</t>
  </si>
  <si>
    <t>0b6ae065a8e1848ce4f056a83f1eefc38b7368717a1d9e7603c11605b3c32baf</t>
  </si>
  <si>
    <t>814af93fb15faf10f3ded3e9bb7d19ca1e66157e1b247bb45793d24b7530d490</t>
  </si>
  <si>
    <t>58d76d810406427c59129099200e251e6a394794469e49e4bbd84d37598e981d</t>
  </si>
  <si>
    <t>e68d0170fef5d9b9c30cb97956d7033fd1c601bbe06af9b1cd8743c4eeb61767</t>
  </si>
  <si>
    <t>CT TNHH Hãnh Yến</t>
  </si>
  <si>
    <t>fc1906b20eb046ae6c3aba7c26b1114598cb6feef77a8c845fd64c424cf518c9</t>
  </si>
  <si>
    <t>e460267d4aa505bd2aa14135f1dfb252249db2ce3dd939dae81ffaea0778d0c0</t>
  </si>
  <si>
    <t>CT TNHH Cơ Khí Và Xây Dựng Hùng Dương</t>
  </si>
  <si>
    <t xml:space="preserve"> Thép ống</t>
  </si>
  <si>
    <t>1f451415f53dfa0fd668263ae0f0e3bb163458f78ab13c4f6f423b3f223b72ab</t>
  </si>
  <si>
    <t>50a41b0f96570dcd0d7e15ebc84a88955bfce64e20fd68cd9fd3acd1d1181f89</t>
  </si>
  <si>
    <t>099a40e86951501810abaa7ce26466e356f8c4a4f56daf4c25fc402ffb182432</t>
  </si>
  <si>
    <t>743b35c774d48f07db8ebac6c93bdeafa861d1e69e0101be808c78f90ac53304</t>
  </si>
  <si>
    <t>CT TNHH Cơ Khí Ắc Quy Xe Điện Minh Mai</t>
  </si>
  <si>
    <t>ab1b93ce20cf418ad35a7698764e172d1137d8df7db7a3604e41da113562e2d7</t>
  </si>
  <si>
    <t>8187c774a3dbfba6c4c454f0455262230b9f890b8934d5a993ba38bfd76a6e82</t>
  </si>
  <si>
    <t>c6ced4e2e7eae2bd41cd60adfc6eda285695f680215d9d7cc5917affd38cd356</t>
  </si>
  <si>
    <t>Thép ống mạ kẽm F88.3x3.0x6000</t>
  </si>
  <si>
    <t>59760ee429437ea63751d2930efd386302a549e35d984f16c038ca72f9bed58c</t>
  </si>
  <si>
    <t>20260108_0900676665_60</t>
  </si>
  <si>
    <t>Thép ống mạ kẽm F59.9x3.0x6000</t>
  </si>
  <si>
    <t>7656875e6d658008741b12f68b5178092910502ba9f9ac6f0d887d91c1036608</t>
  </si>
  <si>
    <t>Thép ống mạ kẽm F26.65x2.0x6000</t>
  </si>
  <si>
    <t>f5a49646d515ceeaa29db526a73668e697b51d8778b1b4f2b0976f25cd47839d</t>
  </si>
  <si>
    <t>0acbba6d5d9a2c60b96b6923878d6a05761ec946f450729aeba9575cf536c04b</t>
  </si>
  <si>
    <t>430fe6a1d26568d5ca81d3eb8a56fd968de3ef6a48ae09e2a66b60b6269cd906</t>
  </si>
  <si>
    <t>1874dad8f4608b0a5b51cd4a30bf58b4cc3491987d6005dede732714d80bded8</t>
  </si>
  <si>
    <t>82b87be02243c067747866119169bf61c5210ebf0891e35262d65ceef37969e7</t>
  </si>
  <si>
    <t>Thép hộp mạ kẽm 20x40x1.1x6000</t>
  </si>
  <si>
    <t>2a70fd3449545af50a1e6bb7ba616bd45c61e608fe5c059171c48eb058857883</t>
  </si>
  <si>
    <t>20260112_0900676665_86</t>
  </si>
  <si>
    <t>f4e5574870da782f246c2db4afd3a46953561b35f380fe4a7437088b12273ad6</t>
  </si>
  <si>
    <t>20260112_1000511768_6</t>
  </si>
  <si>
    <t>10f8d6a7a086fe663c870dcb3a192258f38a8eaa43eceb6f9db9c0d0d175aa83</t>
  </si>
  <si>
    <t>5cb642147da3b0076cce3ecf8dfebd08bec0fc6b3b1d2beef4fb9d779f62c8a7</t>
  </si>
  <si>
    <t>a27fdfec561db74e8e58ebdcff987d6b221883df05f2cfabe886b55b01f5d714</t>
  </si>
  <si>
    <t>2d67a5106b8538dab99875d41f758f8daa98720b0c323dcd697fabe1bac386dc</t>
  </si>
  <si>
    <t>c4efc919237518445b7472d26a5c65fc552b63ce9f0e91c84d5f9781384df6ed</t>
  </si>
  <si>
    <t>Thép tấm 4.5x1500x6000mm</t>
  </si>
  <si>
    <t>70a718bf5bb9a734b0f3e195bf62b29f39c4a2379aa265773c7f68d755d07ef4</t>
  </si>
  <si>
    <t>1ee2169e3f838d0a5e55408582984abee3304d5ddf2322ebfd8859e6e35f5aad</t>
  </si>
  <si>
    <t>74181ec3b090d25c7448a3d56102d5cf333a09364eb99a772320d6668221fef3</t>
  </si>
  <si>
    <t>Thép tấm 10x2000x6000mm</t>
  </si>
  <si>
    <t>7c93a1b07515fb20c415b1a4e512f2cdde7335ee9fe29976b7ba687083b4882c</t>
  </si>
  <si>
    <t>9106abb5bf924912bb28d8efe84c55a87bc3eb61c9e0b56bbcf8a1679b225c28</t>
  </si>
  <si>
    <t>955929225c29306338aa38e3ac62cd490b2dfbfe233e39cbc39e194009ddbb5c</t>
  </si>
  <si>
    <t>326db3d9adbed5d053698a78fcc02fca953d271a15d3ddc476a05a7d1b1fd5ad</t>
  </si>
  <si>
    <t>tôn mạ màu</t>
  </si>
  <si>
    <t>18c6761c675cd96d5561ff58be99e542d30ea030f3beae02893c5e75412662f3</t>
  </si>
  <si>
    <t>20260209_1000511768_40</t>
  </si>
  <si>
    <t>CT TNHH Dịch Vụ Đầu Tư Xây Dựng Thương Mại XNK Thái Hà</t>
  </si>
  <si>
    <t>d2fd803f15ca0270ecd86acf20c4685bc1ff99a7baca0a5a1946d1eb3f376a5d</t>
  </si>
  <si>
    <t>609a92a413d3dbc049eb237834e977671895e056a3b1b33865da759d767057ee</t>
  </si>
  <si>
    <t>Thép tấm 8mm, 4mm</t>
  </si>
  <si>
    <t>e45fdab0a801275b2fa704937faa017a27c37ced75acacb035fe3dbd88286937</t>
  </si>
  <si>
    <t>Thép U100</t>
  </si>
  <si>
    <t>fc4ffe91a44b20ec8f72725d238b1e2bcf652353b6f4f7243be75f5855079299</t>
  </si>
  <si>
    <t>20261202_1000576500_30</t>
  </si>
  <si>
    <t>7c5ccbb8bdebda1e81916efe668d3921309d4a0b0c73bf721dffcc342b65f2c2</t>
  </si>
  <si>
    <t>Thép U100x6000mm</t>
  </si>
  <si>
    <t>5e9e8cefcedbc2695d37dc369d8f18deb1fec0055adc25d72ffd2c53e6bb0fdd</t>
  </si>
  <si>
    <t>Thép I150x75x6000mm</t>
  </si>
  <si>
    <t>869aabd1028f36a22872a0aa3e77780f6c81903bc19cb9e6c84f40e4a3f5602d</t>
  </si>
  <si>
    <t>Thép U80x6000mm</t>
  </si>
  <si>
    <t>d0f0d304034300bcfa68ab5381a18e0c6b69b3ad3f1cf75897f3f36862b9e180</t>
  </si>
  <si>
    <t>Thép V50x50x5x6000mm</t>
  </si>
  <si>
    <t>89c8b47ffa1cfe17f251d6ee6a20d2ed439ae8c86bd775ef3a918d539b09965b</t>
  </si>
  <si>
    <t>Thép V63x63x6x6000mm</t>
  </si>
  <si>
    <t>029b5179848986bfade04331e7c798de4f24325492ceb88dd8c2275406b67047</t>
  </si>
  <si>
    <t>Thép U140x6000mm</t>
  </si>
  <si>
    <t>652f6b48864f695bac3cd0cfa7f3e3074cb5743b5f38e12d3f8da888c742ca76</t>
  </si>
  <si>
    <t>Thép tấm chấn mã đầu cọc</t>
  </si>
  <si>
    <t>08011770d2bddc3fb6cf7728026cc181b66ebc5f3ea32d31913a792ad9be224a</t>
  </si>
  <si>
    <t>20260309_1000677957_248</t>
  </si>
  <si>
    <t>66719f9107c54576db379943e2370e47dd92c727f85103814ee673371836dd00</t>
  </si>
  <si>
    <t>20260318_4300847027_13</t>
  </si>
  <si>
    <t>30971b3816601bf6366a32355f0353d8c1327137bf45e42f8997495859e63b3d</t>
  </si>
  <si>
    <t>20260318_1000451050_14</t>
  </si>
  <si>
    <t>CÔNG TY CỔ PHẦN H2T WONDERFUL</t>
  </si>
  <si>
    <t>eb186e50d40909d26c31db89ee42b3c4ea8dbcde3b8a164daafcc51e461e62f3</t>
  </si>
  <si>
    <t>e28c72c2d26aff86df45a6e5ff9eb9dc2b9247fcd773f205dd8bca693335b9f8</t>
  </si>
  <si>
    <t>CÔNG TY TNHH THÉP ỐNG ĐỨC VIỆT</t>
  </si>
  <si>
    <t>Thép ống hộp mạ kẽm các loại</t>
  </si>
  <si>
    <t>1c9064bad1ee5e8aae90ebb96137a9fee2835ac9e7bc84f0d0567e6aad536a81</t>
  </si>
  <si>
    <t>0e8a78e91f595a71d0508caa6a88f3086657a9bbc171043902ed9319852e728e</t>
  </si>
  <si>
    <t>Ống thép mạ kẽm OD48.1x1.8x6000mm</t>
  </si>
  <si>
    <t>e7eb532a4366656cce1854b29a86fdad55e144a01d33d98f5256f466adea0b21</t>
  </si>
  <si>
    <t>Ống thép mạ kẽm OD33.5x1.4x6000mm</t>
  </si>
  <si>
    <t>71132f63399438b4bef54b98406fbf1021df47a05def621ea314d8dfddad531a</t>
  </si>
  <si>
    <t>CÔNG TY TNHH HAIYANG</t>
  </si>
  <si>
    <t>d99f4b1a9f34b756625bc6176c6c163854f402603ec06d6ad63079c5c7cf0619</t>
  </si>
  <si>
    <t>CÔNG TY CP SẢN XUẤT VÀ THƯƠNG MẠI TÍN THÀNH HƯNG</t>
  </si>
  <si>
    <t>fc9408db1a326b08d3eea05401e34a639555b8e88e7f7f35a6d0f3df57ccd061</t>
  </si>
  <si>
    <t>CÔNG TY TNHH TMDV SƠN HÒA</t>
  </si>
  <si>
    <t>Thép tấm 4mm</t>
  </si>
  <si>
    <t>851602ce21b71ad18d9689580e110ea96f908124a54f949a81fc1f3f1b2faffd</t>
  </si>
  <si>
    <t>CÔNG TY TNHH CƠ KHÍ XÂY DỰNG VÀ THƯƠNG MẠI DŨNG PHÁT</t>
  </si>
  <si>
    <t>1b2b3b6db75c8f77317334fad5049acb0eb45061d38abee3f3655adad538cf27</t>
  </si>
  <si>
    <t>Thép hộp mạ kẽm 50x50x1.4x6000mm</t>
  </si>
  <si>
    <t>311b2cdb9f9e27d5cf6c7fdf92b76c028bdc4ec0a5afb3664fd323ffc22fef01</t>
  </si>
  <si>
    <t>af8586733c744ed3aae763b64c2f4b5e46c9806561e8cca8a3e977496810c836</t>
  </si>
  <si>
    <t>Thép hộp mạ kẽm 20x40x1.4x6000mm</t>
  </si>
  <si>
    <t>faf7ca94641f231009f5eabffd65c1024acb1857e13a12399b49946bf4d51dc5</t>
  </si>
  <si>
    <t xml:space="preserve">Thép hộp mạ kẽm 20x40x1.8x6000mm </t>
  </si>
  <si>
    <t>3dff33f9c535752c66e65366e4a593a3a3e80b1db8bc8f076f0c2678e87cace6</t>
  </si>
  <si>
    <t xml:space="preserve">Thép hộp mạ kẽm 75x75x1.8x6000mm </t>
  </si>
  <si>
    <t>3d37939a105fe738d9c3d180dd8b25a31964f5d045b3d9871ed283586a802493</t>
  </si>
  <si>
    <t>Thép hộp mạ kẽm 25x50x1.4x6000mm</t>
  </si>
  <si>
    <t>de4657dd2e76306ceb6732ff6a7b84201105d6cd2518db649fdbaa492ee7b174</t>
  </si>
  <si>
    <t>e0530088f08d9560b7c7756f6bd16b49978726ad52ecaf705e5325ac8501c9df</t>
  </si>
  <si>
    <t>CÔNG TY TNHH THÉP HUYỀN LINH</t>
  </si>
  <si>
    <t>Thép tấm 10x1500x6000</t>
  </si>
  <si>
    <t>797e3f141a6ba0a1a4d381f1d541cc1a0c658c02bc3fd7e607e609da324da60f</t>
  </si>
  <si>
    <t>Thép tấm 8x1500x6000</t>
  </si>
  <si>
    <t>5c0af0d0fe91e999417370afb3a8746d4807e039044ab06ffbf37cc77cc84be2</t>
  </si>
  <si>
    <t>5f8bd795d3111a18fdbac2505086b2f82dba0e1b4ec977423da23a965e3785e3</t>
  </si>
  <si>
    <t>CÔNG TY TNHH HOÀNG MẠNH</t>
  </si>
  <si>
    <t>2099b85cc3cd4973bea1a564a1d7e505dd7829d994d510ba97627866ec286e3e</t>
  </si>
  <si>
    <t>257dc642ec0764da085d8cc5ce4a2612ca65e91a0264dfa0d9202abfc2a96117</t>
  </si>
  <si>
    <t>50cd4fe086e49a6be842962d902004c6b03f7837408f82ba10d0d4dc49d2a73e</t>
  </si>
  <si>
    <t>CÔNG TY TNHH XÂY DỰNG VÀ THƯƠNG MẠI DỊCH VỤ BF</t>
  </si>
  <si>
    <t>9cdbfaa299705baba64555181d7df11186e292fa05be8ffb08a17ae2068feab5</t>
  </si>
  <si>
    <t>CÔNG TY TNHH THÉP HOÀNG ĐÀO</t>
  </si>
  <si>
    <t>4620c44f37ebc557efe4707ecaa7b9e6e884a3e7de597c762917366c0000e8a6</t>
  </si>
  <si>
    <t>CT TNHH Xây Dựng Và TMDV BF</t>
  </si>
  <si>
    <t>10a5980d3817f2a2fd6e4554992af00808a56799e3b2e6dd0a435773bb253d01</t>
  </si>
  <si>
    <t>20260517_1001277292_24</t>
  </si>
  <si>
    <t>41d15f7f87826388f91c30918e3f9623808d3e2597eae5f49d66ab0067dc4970</t>
  </si>
  <si>
    <t>716bdf6b8818867fec8b93bc6da3bd9efe110d805bfe98fa85a3331e76a8ed97</t>
  </si>
  <si>
    <t>49f23ed101d63fe85627d7ad0cd68219b02ecb438e7cd0c80e253c06af3ac5a8</t>
  </si>
  <si>
    <t>8d3675a8398cb18a4be4eedf513f493cf95877030866e0f6694fbf51259af3c8</t>
  </si>
  <si>
    <t>bd486c7584eb354a432d59d9fab68848c143466a068d64e263a862c99a6c1e85</t>
  </si>
  <si>
    <t>Thép tấm mạ kẽm chấn định hình</t>
  </si>
  <si>
    <t>bf7e4aadd065cd355ae0cbe6196cfd466021b0821be618d3e849b5ef9db4831f</t>
  </si>
  <si>
    <t>Thép ống các loại</t>
  </si>
  <si>
    <t>073ac0bb55e70e624ced6b1e93ee566bf1d9f3cffdc99664f86c7e8bec4cf0e5</t>
  </si>
  <si>
    <t>CÔNG TY TNHH 20-21</t>
  </si>
  <si>
    <t>8d26dddd27c622f43db1f4502723b8f2fcbeeafbf6b21bc9cb6b26326c174b62</t>
  </si>
  <si>
    <t>649a2b18f62da183bc8ef62e549b374d02a7534dd92119f0410777f148f1f6ba</t>
  </si>
  <si>
    <t>f313a10848b9ef77e69ec08f9ec0447f9418050385868339d9f099c62a7db368</t>
  </si>
  <si>
    <t>CÔNG TY TRÁCH NHIỆM HỮU HẠN THƯƠNG MẠI NGỌC HIẾU</t>
  </si>
  <si>
    <t>Thép tấm 8x1500x6000mm</t>
  </si>
  <si>
    <t>bbdba44b6abc607618cbf05b9e1e98be8052bb094c868896374efd9c68c61f67</t>
  </si>
  <si>
    <t>Thép hộp mạ kẽm 50x100x1.4x6000mm</t>
  </si>
  <si>
    <t>f34eda4f4030194cc3a41226c09aa9d8919acadd9bb963caca569bbf08d0f664</t>
  </si>
  <si>
    <t xml:space="preserve">Thép hộp mạ kẽm 50x100x1.8x6000mm </t>
  </si>
  <si>
    <t>e96765421d0457bfbef4db12dffa9f1b288462c96843daf52ed061a4d6d4448c</t>
  </si>
  <si>
    <t>c7fab4bc8a1bd24e04828dbabb019da4e374515b6c1965e2ab0e06fa2f0e63aa</t>
  </si>
  <si>
    <t>e7bbb3376c3c356dd970b9b93bc046591fca4bb6d74226423586b3269253e922</t>
  </si>
  <si>
    <t>2d0b4357d438357bbb9bc4028023798866e27abe4d5ea3823bc15677b8945533</t>
  </si>
  <si>
    <t>92af93ebd61ddd310eb3b109c87da48bc549676ccf80db04771c1cbe5a0b6424</t>
  </si>
  <si>
    <t>bc9c8e93121cb92ccf8d823af66be81257c95824423684350c3101027a80fd5c</t>
  </si>
  <si>
    <t>Thép tấm 4.5mm -6mm</t>
  </si>
  <si>
    <t>2d2c93693bedb1ebd0c60191afa8f2fece9792d29bfa0eac5ef4306e705e491a</t>
  </si>
  <si>
    <t>Thép V70x70x6x6000mm</t>
  </si>
  <si>
    <t>d9409a05fc5e09aee50d71e0a35b64ce1448851a8b5ecdf6931fad3b5e63cf75</t>
  </si>
  <si>
    <t>Thép I120x6000mm</t>
  </si>
  <si>
    <t>4e4c801f9dc222c9ad92d679904e950920d1eaef886cd622d4a35d9f2c234fc0</t>
  </si>
  <si>
    <t>90b4cedbd41ea526d5eb691a881b72a22bfde6dcca816b5fcb4188b29ea8e006</t>
  </si>
  <si>
    <t>e01fc4456383eb31697c3b31d326b77c181dd85755414a18b693b3a6bd8d2486</t>
  </si>
  <si>
    <t>Thép U120x6000mm</t>
  </si>
  <si>
    <t>6b945fd1b50b506f5d3d8b96743da6858704b4ea191b37ea4646d5f20ad6dfb7</t>
  </si>
  <si>
    <t>invoiceKey</t>
  </si>
  <si>
    <t>XML_id</t>
  </si>
  <si>
    <t>XML_status</t>
  </si>
  <si>
    <t>PDF_id</t>
  </si>
  <si>
    <t>PDF_status</t>
  </si>
  <si>
    <t>View</t>
  </si>
  <si>
    <t>1OeFgI4N2yeMgG_MyUYaO3tlfExMRFDTE</t>
  </si>
  <si>
    <t>✔</t>
  </si>
  <si>
    <t>11btwXuuzIHQGifW9NeLCHxqedkBZ1NA9</t>
  </si>
  <si>
    <t>1R0kB6sDA5_nd_3rz5PY5V5SE0xIIXQkb</t>
  </si>
  <si>
    <t>🔎 Xem</t>
  </si>
  <si>
    <t>1qGY3MKDAu8k7eV7fHXMmZgiLHXwtdj1a</t>
  </si>
  <si>
    <t>1G11gfytPIATmM0Nz0dCF9-yZccBXDpXE</t>
  </si>
  <si>
    <t>1qq9ZcEqpDgslkXL1ARh8w1Kvi9ux-MLh</t>
  </si>
  <si>
    <t>1YgqoTC7EfpUVdmNf4sFRJ6ug6giyM_ZX</t>
  </si>
  <si>
    <t>1uMehHuRRbigu1BYRrl9rzwL3kxo8tfyn</t>
  </si>
  <si>
    <t>1_aPiBrR47T4mi_8-SE3IUbAjhlJO6fhB</t>
  </si>
  <si>
    <t>1wnigeryyI3cItsdwV6R3jXYFPZYwo_tF</t>
  </si>
  <si>
    <t>1pPzWZA51Q9xeKVKhzivo3gLktqAA1KLC</t>
  </si>
  <si>
    <t>1higSX8QqxSANLav61wxhpch8RiHg2Y9h</t>
  </si>
  <si>
    <t/>
  </si>
  <si>
    <t>12rI6g59uZq3eZ5-4o9hDZ7vIoce2ZIpR</t>
  </si>
  <si>
    <t>20260331_1001321047_15</t>
  </si>
  <si>
    <t>1KrqZuqRWr0yPp0A31Y3qB0v5fqaP4ygr</t>
  </si>
  <si>
    <t>11bB-CYcfuPHexCvnaLBGarCMY4gA_irO</t>
  </si>
  <si>
    <t>20260408_1000451050_16</t>
  </si>
  <si>
    <t>1ZlcMapqbzFzSdtLaaBT3fmckwXeTPQah</t>
  </si>
  <si>
    <t>1Y3NCKYMwo0uFwzQ4gUuaHlKh_QGb_TOi</t>
  </si>
  <si>
    <t>20260411_4300847027_17</t>
  </si>
  <si>
    <t>1Qp55PPtGDd8Zcm-bWsTZMUyjpfp9mIlE</t>
  </si>
  <si>
    <t>1pUEGiwywYcuVfRcfTgI1tXKSYtA7LTvS</t>
  </si>
  <si>
    <t>20260418_1001244025_18</t>
  </si>
  <si>
    <t>1D4I46Zz7xNsUsBUMcK5gOBhLeWgLUVPc</t>
  </si>
  <si>
    <t>1BK2z7_aw6rPNnKYvdxup8BvpYjqWQTBy</t>
  </si>
  <si>
    <t>20260422_0108132308_19</t>
  </si>
  <si>
    <t>1PQUXFeP8qwoSfNLyBebJDaPzQyfpjXve</t>
  </si>
  <si>
    <t>1RVznr14qOPVxAvy8Ww33OLUU5dLfI0kz</t>
  </si>
  <si>
    <t>20260428_1000451050_20</t>
  </si>
  <si>
    <t>1gq9OWRlRu1OTaUjhv_QitJYgPjmiQbTC</t>
  </si>
  <si>
    <t>1LHAvI2shM-LVC7x6AdBii3hW-yX610QX</t>
  </si>
  <si>
    <t>20260115_0108132308_4</t>
  </si>
  <si>
    <t>15yj93XnkfnJ3NCpghxb2Er07H2bQiDsi</t>
  </si>
  <si>
    <t>1OeSAQLUfIEgqNkJ0hLQFdI84JrXPPtO3</t>
  </si>
  <si>
    <t>20260511_4300847027_21</t>
  </si>
  <si>
    <t>1bUcEdSGOn_4F51FFKKmi6OYylr61SNnN</t>
  </si>
  <si>
    <t>1CutQAI3e4jDiqipbXTLD7zdYUrQVzQ0N</t>
  </si>
  <si>
    <t>19700101_1000576500_101</t>
  </si>
  <si>
    <t>13NuAXwk2oUibT8cuWQpaTpdFNh6mHRab</t>
  </si>
  <si>
    <t>20260514_0108132308_22</t>
  </si>
  <si>
    <t>11CkAJk0jiY0R9V_cL1ALt8V2SAOrBSqX</t>
  </si>
  <si>
    <t>1U0RvGnKzALvNRGyv6zGzRkIjGPivrkmH</t>
  </si>
  <si>
    <t>20260515_1001277292_23</t>
  </si>
  <si>
    <t>14ZKVjF8WfF0EdCrjn5Oyw_nrwDn0V6hg</t>
  </si>
  <si>
    <t>1ZjamfbsByiSlJsYA9441UOCiyYYyiDR9</t>
  </si>
  <si>
    <t>1wfFUq_CTBF4_UQlzAge9GOzmQ6QfDiX0</t>
  </si>
  <si>
    <t>10sGjWbfqU418rkyAP6BWU-CvYG8pU4Nx</t>
  </si>
  <si>
    <t>19700101_1000576500_102</t>
  </si>
  <si>
    <t>1QFOkov74g4CZSt1FYKy9y6Th3AZzXWsm</t>
  </si>
  <si>
    <t>20260514_1000576500_102</t>
  </si>
  <si>
    <t>1cVVW9u2zwM7uA4UzjYeejciVRU-yNDZk</t>
  </si>
  <si>
    <t>20260514_1000576500_101</t>
  </si>
  <si>
    <t>1RA68OGF3YehdY_cYsi-iQd5EIgmzg1Ha</t>
  </si>
  <si>
    <t>Unknown_ID</t>
  </si>
  <si>
    <t>Chưa phân loại</t>
  </si>
  <si>
    <t>P.loại</t>
  </si>
  <si>
    <t>Tên đầy đủ</t>
  </si>
  <si>
    <t>Tên viết tắt</t>
  </si>
  <si>
    <t>Công Ty</t>
  </si>
  <si>
    <t>CT</t>
  </si>
  <si>
    <t>Trách Nhiệm Hữu Hạn</t>
  </si>
  <si>
    <t>TNHH</t>
  </si>
  <si>
    <t>Cổ Phần</t>
  </si>
  <si>
    <t>CP</t>
  </si>
  <si>
    <t>Một Thành Viên</t>
  </si>
  <si>
    <t>MTV</t>
  </si>
  <si>
    <t>Ct</t>
  </si>
  <si>
    <t>Tnhh</t>
  </si>
  <si>
    <t>Cp</t>
  </si>
  <si>
    <t>Mtv</t>
  </si>
  <si>
    <t>Ktcttl</t>
  </si>
  <si>
    <t>KTCTTL</t>
  </si>
  <si>
    <t>Hts</t>
  </si>
  <si>
    <t>HTS</t>
  </si>
  <si>
    <t>Idico</t>
  </si>
  <si>
    <t>IDICO</t>
  </si>
  <si>
    <t>Hacom</t>
  </si>
  <si>
    <t>HACOM</t>
  </si>
  <si>
    <t>Cn</t>
  </si>
  <si>
    <t>CN</t>
  </si>
  <si>
    <t>Chi Nhánh</t>
  </si>
  <si>
    <t>Xn</t>
  </si>
  <si>
    <t>XN</t>
  </si>
  <si>
    <t>Xí Nghiệp</t>
  </si>
  <si>
    <t>Xnk</t>
  </si>
  <si>
    <t>XNK</t>
  </si>
  <si>
    <t>Xuất Nhập Khẩu</t>
  </si>
  <si>
    <t>Tmdv</t>
  </si>
  <si>
    <t>TMDV</t>
  </si>
  <si>
    <t>Thương mại dịch vụ</t>
  </si>
  <si>
    <t>hbo</t>
  </si>
  <si>
    <t>HBO</t>
  </si>
  <si>
    <t>quản lí</t>
  </si>
  <si>
    <t>Quản Lý</t>
  </si>
  <si>
    <t>T&amp;Z</t>
  </si>
  <si>
    <t>FDI</t>
  </si>
  <si>
    <t>Sx Và Tm</t>
  </si>
  <si>
    <t>SX Và TM</t>
  </si>
  <si>
    <t>Vms</t>
  </si>
  <si>
    <t>VMS</t>
  </si>
  <si>
    <t>Đầu Tư Xây Dựng Và Thương Mại Th</t>
  </si>
  <si>
    <t>Đầu Tư Xây Dựng Và Thương Mại TH</t>
  </si>
  <si>
    <t>Dòng NX</t>
  </si>
  <si>
    <t>Diễn giải</t>
  </si>
  <si>
    <t>Trường</t>
  </si>
  <si>
    <t>Giá trị / Từ</t>
  </si>
  <si>
    <t>Đến</t>
  </si>
  <si>
    <t>Ghi chú</t>
  </si>
  <si>
    <t>SL1</t>
  </si>
  <si>
    <t>ĐG1</t>
  </si>
  <si>
    <t>SL2</t>
  </si>
  <si>
    <t>ĐG2</t>
  </si>
  <si>
    <t>SL mặt hàng 1</t>
  </si>
  <si>
    <t>Named ranges: VHD_SL1_BE, VHD_SL1_TO</t>
  </si>
  <si>
    <t>ĐG mặt hàng 1</t>
  </si>
  <si>
    <t>Named ranges: VHD_DG1_BE, VHD_DG1_TO</t>
  </si>
  <si>
    <t>SL mặt hàng 2</t>
  </si>
  <si>
    <t>Named ranges: VHD_SL2_BE, VHD_SL2_TO; để trống nếu chỉ 1 mặt hàng</t>
  </si>
  <si>
    <t>ĐG mặt hàng 2</t>
  </si>
  <si>
    <t>Named ranges: VHD_DG2_BE, VHD_DG2_TO; để trống nếu chỉ 1 mặt hàng</t>
  </si>
  <si>
    <t>Giá trị mục tiêu</t>
  </si>
  <si>
    <t>Named range: VHD_GIA_TRI_MUC_TIEU</t>
  </si>
  <si>
    <t>Trước thuế?</t>
  </si>
  <si>
    <t>TRUE: khớp trước thuế; FALSE: khớp sau thuế VAT 10%</t>
  </si>
  <si>
    <t>Ưu tiên SL nhỏ?</t>
  </si>
  <si>
    <t>Named range: VHD_UU_TIEN_SL</t>
  </si>
  <si>
    <t>Ưu tiên ĐG nhỏ?</t>
  </si>
  <si>
    <t>Named range: VHD_UU_TIEN_DG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</si>
</sst>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\-mm\-dd"/>
  </numFmts>
  <fonts count="36">
    <font>
      <sz val="10.0"/>
      <color rgb="FF000000"/>
      <name val="Times New Roman"/>
      <scheme val="minor"/>
    </font>
    <font>
      <sz val="20.0"/>
      <color theme="1"/>
      <name val="Times New Roman"/>
      <scheme val="minor"/>
    </font>
    <font>
      <sz val="16.0"/>
      <color rgb="FF741B47"/>
      <name val="Times New Roman"/>
    </font>
    <font>
      <sz val="16.0"/>
      <color rgb="FF000000"/>
      <name val="Times New Roman"/>
      <scheme val="minor"/>
    </font>
    <font>
      <sz val="16.0"/>
      <color rgb="FF980000"/>
      <name val="Times New Roman"/>
    </font>
    <font>
      <sz val="16.0"/>
      <color rgb="FF0000FF"/>
      <name val="Times New Roman"/>
    </font>
    <font>
      <sz val="16.0"/>
      <color rgb="FF9900FF"/>
      <name val="Times New Roman"/>
    </font>
    <font>
      <b/>
      <sz val="16.0"/>
      <color rgb="FF0000FF"/>
      <name val="Times New Roman"/>
      <scheme val="minor"/>
    </font>
    <font>
      <sz val="16.0"/>
      <color rgb="FFFF00FF"/>
      <name val="Times New Roman"/>
    </font>
    <font>
      <sz val="25.0"/>
      <color rgb="FFFF0000"/>
      <name val="Impact"/>
    </font>
    <font>
      <sz val="16.0"/>
      <color rgb="FFFF0000"/>
      <name val="Times New Roman"/>
    </font>
    <font>
      <sz val="16.0"/>
      <color rgb="FF434343"/>
      <name val="Times New Roman"/>
    </font>
    <font>
      <sz val="16.0"/>
      <color rgb="FF4A86E8"/>
      <name val="Times New Roman"/>
    </font>
    <font>
      <sz val="16.0"/>
      <color rgb="FFFFFFFF"/>
      <name val="Times New Roman"/>
    </font>
    <font>
      <sz val="20.0"/>
      <color rgb="FFFFFFFF"/>
      <name val="Times New Roman"/>
      <scheme val="minor"/>
    </font>
    <font>
      <sz val="16.0"/>
      <color rgb="FF000000"/>
      <name val="Times New Roman"/>
    </font>
    <font>
      <sz val="16.0"/>
      <color rgb="FF000000"/>
      <name val="Arial"/>
    </font>
    <font>
      <sz val="16.0"/>
      <color rgb="FF0000FF"/>
      <name val="Caveat"/>
    </font>
    <font>
      <sz val="16.0"/>
      <color theme="1"/>
      <name val="Times New Roman"/>
      <scheme val="minor"/>
    </font>
    <font>
      <sz val="16.0"/>
      <color rgb="FFFF0000"/>
      <name val="Caveat"/>
    </font>
    <font>
      <sz val="16.0"/>
      <color rgb="FF351C75"/>
      <name val="Times New Roman"/>
    </font>
    <font>
      <u/>
      <sz val="16.0"/>
      <color rgb="FF0000FF"/>
      <name val="Roboto"/>
    </font>
    <font>
      <u/>
      <sz val="16.0"/>
      <color rgb="FF0000FF"/>
      <name val="Roboto"/>
    </font>
    <font>
      <u/>
      <sz val="16.0"/>
      <color rgb="FF0000FF"/>
      <name val="Roboto"/>
    </font>
    <font>
      <sz val="18.0"/>
      <color rgb="FF000000"/>
      <name val="Times New Roman"/>
    </font>
    <font>
      <sz val="16.0"/>
      <color rgb="FFFF0000"/>
      <name val="Times New Roman"/>
      <scheme val="minor"/>
    </font>
    <font>
      <sz val="16.0"/>
      <color rgb="FF0000FF"/>
      <name val="Times New Roman"/>
      <scheme val="minor"/>
    </font>
    <font>
      <sz val="16.0"/>
      <color rgb="FF9900FF"/>
      <name val="Times New Roman"/>
      <scheme val="minor"/>
    </font>
    <font>
      <sz val="16.0"/>
      <color rgb="FFFF00FF"/>
      <name val="Times New Roman"/>
      <scheme val="minor"/>
    </font>
    <font>
      <sz val="16.0"/>
      <color rgb="FF980000"/>
      <name val="Times New Roman"/>
      <scheme val="minor"/>
    </font>
    <font>
      <sz val="16.0"/>
      <color rgb="FF4A86E8"/>
      <name val="Times New Roman"/>
      <scheme val="minor"/>
    </font>
    <font>
      <sz val="16.0"/>
      <color rgb="FF741B47"/>
      <name val="Times New Roman"/>
      <scheme val="minor"/>
    </font>
    <font>
      <sz val="16.0"/>
      <color rgb="FF434343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color theme="1"/>
      <name val="Times New Roman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vertical="top"/>
    </xf>
    <xf borderId="0" fillId="0" fontId="8" numFmtId="0" xfId="0" applyAlignment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4" numFmtId="4" xfId="0" applyAlignment="1" applyFont="1" applyNumberFormat="1">
      <alignment horizontal="right" readingOrder="0" shrinkToFit="0" vertical="center" wrapText="0"/>
    </xf>
    <xf borderId="0" fillId="0" fontId="14" numFmtId="0" xfId="0" applyAlignment="1" applyFont="1">
      <alignment horizontal="right" readingOrder="0" shrinkToFit="0" vertical="center" wrapText="0"/>
    </xf>
    <xf borderId="0" fillId="0" fontId="15" numFmtId="0" xfId="0" applyAlignment="1" applyFont="1">
      <alignment horizontal="left" readingOrder="0" shrinkToFit="0" vertical="top" wrapText="0"/>
    </xf>
    <xf borderId="0" fillId="0" fontId="15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center" wrapText="0"/>
    </xf>
    <xf borderId="1" fillId="2" fontId="16" numFmtId="3" xfId="0" applyAlignment="1" applyBorder="1" applyFill="1" applyFont="1" applyNumberFormat="1">
      <alignment horizontal="center" shrinkToFit="0" vertical="center" wrapText="0"/>
    </xf>
    <xf borderId="1" fillId="2" fontId="16" numFmtId="165" xfId="0" applyAlignment="1" applyBorder="1" applyFont="1" applyNumberFormat="1">
      <alignment horizontal="left" readingOrder="0" shrinkToFit="0" vertical="center" wrapText="0"/>
    </xf>
    <xf borderId="1" fillId="2" fontId="16" numFmtId="0" xfId="0" applyAlignment="1" applyBorder="1" applyFont="1">
      <alignment horizontal="center" readingOrder="0" shrinkToFit="0" vertical="center" wrapText="0"/>
    </xf>
    <xf borderId="1" fillId="2" fontId="1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16" numFmtId="0" xfId="0" applyAlignment="1" applyBorder="1" applyFont="1">
      <alignment horizontal="left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6" numFmtId="4" xfId="0" applyAlignment="1" applyBorder="1" applyFont="1" applyNumberFormat="1">
      <alignment horizontal="right" readingOrder="0" shrinkToFit="0" vertical="center" wrapText="1"/>
    </xf>
    <xf borderId="0" fillId="2" fontId="16" numFmtId="3" xfId="0" applyAlignment="1" applyFont="1" applyNumberFormat="1">
      <alignment horizontal="right" readingOrder="0" shrinkToFit="0" vertical="center" wrapText="1"/>
    </xf>
    <xf borderId="0" fillId="2" fontId="16" numFmtId="4" xfId="0" applyAlignment="1" applyFont="1" applyNumberFormat="1">
      <alignment horizontal="right" readingOrder="0" shrinkToFit="0" vertical="center" wrapText="1"/>
    </xf>
    <xf borderId="0" fillId="2" fontId="16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shrinkToFit="0" vertical="center" wrapText="0"/>
    </xf>
    <xf borderId="0" fillId="0" fontId="18" numFmtId="0" xfId="0" applyAlignment="1" applyFont="1">
      <alignment horizontal="center" shrinkToFit="0" vertical="center" wrapText="0"/>
    </xf>
    <xf borderId="1" fillId="2" fontId="16" numFmtId="3" xfId="0" applyAlignment="1" applyBorder="1" applyFont="1" applyNumberFormat="1">
      <alignment horizontal="center" readingOrder="0" shrinkToFit="0" vertical="center" wrapText="0"/>
    </xf>
    <xf borderId="1" fillId="2" fontId="10" numFmtId="0" xfId="0" applyAlignment="1" applyBorder="1" applyFont="1">
      <alignment horizontal="center" readingOrder="0" shrinkToFit="0" vertical="center" wrapText="0"/>
    </xf>
    <xf borderId="1" fillId="2" fontId="19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0"/>
    </xf>
    <xf borderId="1" fillId="2" fontId="20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11" numFmtId="0" xfId="0" applyAlignment="1" applyBorder="1" applyFont="1">
      <alignment horizontal="center" readingOrder="0" shrinkToFit="0" vertical="center" wrapText="0"/>
    </xf>
    <xf borderId="1" fillId="2" fontId="16" numFmtId="0" xfId="0" applyAlignment="1" applyBorder="1" applyFont="1">
      <alignment horizontal="center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2" fontId="16" numFmtId="3" xfId="0" applyAlignment="1" applyFont="1" applyNumberFormat="1">
      <alignment horizontal="center" shrinkToFit="0" vertical="center" wrapText="0"/>
    </xf>
    <xf borderId="0" fillId="2" fontId="16" numFmtId="165" xfId="0" applyAlignment="1" applyFont="1" applyNumberFormat="1">
      <alignment horizontal="left" readingOrder="0" shrinkToFit="0" vertical="center" wrapText="0"/>
    </xf>
    <xf borderId="0" fillId="2" fontId="16" numFmtId="0" xfId="0" applyAlignment="1" applyFon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center" readingOrder="0" shrinkToFit="0" vertical="center" wrapText="0"/>
    </xf>
    <xf borderId="0" fillId="2" fontId="19" numFmtId="0" xfId="0" applyAlignment="1" applyFon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vertical="center" wrapText="0"/>
    </xf>
    <xf borderId="0" fillId="2" fontId="8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horizontal="center" readingOrder="0" shrinkToFit="0" vertical="center" wrapText="0"/>
    </xf>
    <xf borderId="0" fillId="2" fontId="17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0"/>
    </xf>
    <xf borderId="0" fillId="3" fontId="10" numFmtId="0" xfId="0" applyAlignment="1" applyFill="1" applyFont="1">
      <alignment horizontal="center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0" fillId="2" fontId="16" numFmtId="3" xfId="0" applyAlignment="1" applyFont="1" applyNumberFormat="1">
      <alignment horizontal="center" readingOrder="0" shrinkToFit="0" vertical="center" wrapText="0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horizontal="center" readingOrder="0" shrinkToFit="0" vertical="top" wrapText="0"/>
    </xf>
    <xf borderId="0" fillId="0" fontId="25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top" wrapText="1"/>
    </xf>
    <xf borderId="0" fillId="0" fontId="15" numFmtId="0" xfId="0" applyAlignment="1" applyFont="1">
      <alignment horizontal="center" shrinkToFit="0" vertical="top" wrapText="0"/>
    </xf>
    <xf borderId="0" fillId="0" fontId="26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readingOrder="0" shrinkToFit="0" vertical="top" wrapText="1"/>
    </xf>
    <xf borderId="0" fillId="0" fontId="27" numFmtId="0" xfId="0" applyAlignment="1" applyFont="1">
      <alignment horizontal="left" shrinkToFit="0" vertical="center" wrapText="0"/>
    </xf>
    <xf borderId="0" fillId="0" fontId="28" numFmtId="0" xfId="0" applyAlignment="1" applyFont="1">
      <alignment horizontal="left" shrinkToFit="0" vertical="center" wrapText="0"/>
    </xf>
    <xf borderId="0" fillId="0" fontId="29" numFmtId="0" xfId="0" applyAlignment="1" applyFont="1">
      <alignment horizontal="left" shrinkToFit="0" vertical="center" wrapText="0"/>
    </xf>
    <xf borderId="0" fillId="0" fontId="30" numFmtId="0" xfId="0" applyAlignment="1" applyFont="1">
      <alignment horizontal="left" shrinkToFit="0" vertical="center" wrapText="0"/>
    </xf>
    <xf borderId="0" fillId="0" fontId="31" numFmtId="0" xfId="0" applyAlignment="1" applyFont="1">
      <alignment horizontal="left" shrinkToFit="0" vertical="center" wrapText="0"/>
    </xf>
    <xf borderId="0" fillId="0" fontId="3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center" readingOrder="0" shrinkToFit="0" vertical="top" wrapText="0"/>
    </xf>
    <xf borderId="0" fillId="0" fontId="24" numFmtId="0" xfId="0" applyAlignment="1" applyFont="1">
      <alignment horizontal="left" readingOrder="0" shrinkToFit="0" vertical="top" wrapText="0"/>
    </xf>
    <xf borderId="0" fillId="0" fontId="17" numFmtId="0" xfId="0" applyAlignment="1" applyFont="1">
      <alignment horizontal="left" shrinkToFit="0" vertical="top" wrapText="0"/>
    </xf>
    <xf borderId="0" fillId="0" fontId="19" numFmtId="0" xfId="0" applyAlignment="1" applyFont="1">
      <alignment horizontal="left" shrinkToFit="0" vertical="top" wrapText="0"/>
    </xf>
    <xf borderId="0" fillId="0" fontId="33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center" wrapText="0"/>
    </xf>
    <xf borderId="0" fillId="0" fontId="34" numFmtId="0" xfId="0" applyAlignment="1" applyFont="1">
      <alignment horizontal="left" readingOrder="0" vertical="top"/>
    </xf>
    <xf borderId="0" fillId="0" fontId="34" numFmtId="0" xfId="0" applyAlignment="1" applyFont="1">
      <alignment horizontal="left" readingOrder="0" vertical="top"/>
    </xf>
    <xf borderId="0" fillId="0" fontId="34" numFmtId="14" xfId="0" applyAlignment="1" applyFont="1" applyNumberFormat="1">
      <alignment horizontal="left" readingOrder="0" vertical="top"/>
    </xf>
    <xf borderId="0" fillId="0" fontId="35" numFmtId="0" xfId="0" applyAlignment="1" applyFont="1">
      <alignment horizontal="left" readingOrder="0" shrinkToFit="0" vertical="center" wrapText="0"/>
    </xf>
    <xf borderId="0" fillId="0" fontId="35" numFmtId="0" xfId="0" applyAlignment="1" applyFont="1">
      <alignment horizontal="left" readingOrder="0" vertical="top"/>
    </xf>
    <xf borderId="0" fillId="0" fontId="34" numFmtId="0" xfId="0" applyAlignment="1" applyFont="1">
      <alignment horizontal="left" readingOrder="0" shrinkToFit="0" vertical="center" wrapText="0"/>
    </xf>
    <xf borderId="0" fillId="0" fontId="34" numFmtId="4" xfId="0" applyAlignment="1" applyFont="1" applyNumberFormat="1">
      <alignment horizontal="left" shrinkToFit="0" vertical="center" wrapText="0"/>
    </xf>
    <xf borderId="0" fillId="0" fontId="34" numFmtId="3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86E8"/>
        </left>
        <right style="thin">
          <color rgb="FF4A86E8"/>
        </right>
        <top style="thin">
          <color rgb="FF4A86E8"/>
        </top>
        <bottom style="thin">
          <color rgb="FF4A86E8"/>
        </bottom>
      </border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7">
    <tableStyle count="5" pivot="0" name="TonKho-style">
      <tableStyleElement dxfId="1" type="headerRow"/>
      <tableStyleElement dxfId="2" type="firstRowStripe"/>
      <tableStyleElement dxfId="3" type="secondRowStripe"/>
      <tableStyleElement dxfId="1" type="totalRow"/>
      <tableStyleElement dxfId="4" size="0" type="wholeTable"/>
    </tableStyle>
    <tableStyle count="4" pivot="0" name="Nhap-Xuat-style">
      <tableStyleElement dxfId="2" type="headerRow"/>
      <tableStyleElement dxfId="5" type="firstRowStripe"/>
      <tableStyleElement dxfId="3" type="secondRowStripe"/>
      <tableStyleElement dxfId="4" size="0" type="wholeTable"/>
    </tableStyle>
    <tableStyle count="4" pivot="0" name="Hoa-Don-style">
      <tableStyleElement dxfId="6" type="headerRow"/>
      <tableStyleElement dxfId="7" type="firstRowStripe"/>
      <tableStyleElement dxfId="3" type="secondRowStripe"/>
      <tableStyleElement dxfId="4" size="0" type="wholeTable"/>
    </tableStyle>
    <tableStyle count="4" pivot="0" name="MaHangH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nLoa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etT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etHoaDon-style">
      <tableStyleElement dxfId="6" type="headerRow"/>
      <tableStyleElement dxfId="7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F10" displayName="tblTonKho" name="tblTonKho" id="1">
  <tableColumns count="6">
    <tableColumn totalsRowLabel="TỔNG" name="Mã hàng" id="1"/>
    <tableColumn name="Tên hàng" id="2"/>
    <tableColumn name="ĐVT" id="3"/>
    <tableColumn totalsRowFunction="custom" name="Số lượng" id="4"/>
    <tableColumn totalsRowFunction="custom" name="Giá trị" id="5"/>
    <tableColumn name="Đơn giá BQ" id="6"/>
  </tableColumns>
  <tableStyleInfo name="TonKho-style" showColumnStripes="0" showFirstColumn="1" showLastColumn="1" showRowStripes="1"/>
</table>
</file>

<file path=xl/tables/table2.xml><?xml version="1.0" encoding="utf-8"?>
<table xmlns="http://schemas.openxmlformats.org/spreadsheetml/2006/main" ref="A1:P1333" displayName="tblNhapXuat" name="tblNhapXuat" id="2">
  <autoFilter ref="$A$1:$P$1333"/>
  <tableColumns count="16">
    <tableColumn name="STT" id="1"/>
    <tableColumn name="Ngày" id="2"/>
    <tableColumn name="Hóa đơn số" id="3"/>
    <tableColumn name="Tên khách hàng" id="4"/>
    <tableColumn name="Mã hàng" id="5"/>
    <tableColumn name="Tên hàng" id="6"/>
    <tableColumn name="Phân loại" id="7"/>
    <tableColumn name="Số lượng" id="8"/>
    <tableColumn name="Đơn giá" id="9"/>
    <tableColumn name="Thành tiền" id="10"/>
    <tableColumn name="Đơn giá BQ" id="11"/>
    <tableColumn name="Số lượng tồn" id="12"/>
    <tableColumn name="Giá trị tồn" id="13"/>
    <tableColumn name="HashIndex" id="14"/>
    <tableColumn name="InvoiceKey" id="15"/>
    <tableColumn name="HĐ" id="16"/>
  </tableColumns>
  <tableStyleInfo name="Nhap-Xuat-style" showColumnStripes="0" showFirstColumn="1" showLastColumn="1" showRowStripes="1"/>
</table>
</file>

<file path=xl/tables/table3.xml><?xml version="1.0" encoding="utf-8"?>
<table xmlns="http://schemas.openxmlformats.org/spreadsheetml/2006/main" ref="A1:F24" displayName="tblHoaDon" name="tblHoaDon" id="3">
  <tableColumns count="6">
    <tableColumn name="invoiceKey" id="1"/>
    <tableColumn name="XML_id" id="2"/>
    <tableColumn name="XML_status" id="3"/>
    <tableColumn name="PDF_id" id="4"/>
    <tableColumn name="PDF_status" id="5"/>
    <tableColumn name="View" id="6"/>
  </tableColumns>
  <tableStyleInfo name="Hoa-Don-style" showColumnStripes="0" showFirstColumn="1" showLastColumn="1" showRowStripes="1"/>
</table>
</file>

<file path=xl/tables/table4.xml><?xml version="1.0" encoding="utf-8"?>
<table xmlns="http://schemas.openxmlformats.org/spreadsheetml/2006/main" ref="A1:C10" displayName="tblMaHangHoa" name="tblMaHangHoa" id="4">
  <tableColumns count="3">
    <tableColumn name="Mã hàng" id="1"/>
    <tableColumn name="Tên hàng" id="2"/>
    <tableColumn name="ĐVT" id="3"/>
  </tableColumns>
  <tableStyleInfo name="MaHangHoa-style" showColumnStripes="0" showFirstColumn="1" showLastColumn="1" showRowStripes="1"/>
</table>
</file>

<file path=xl/tables/table5.xml><?xml version="1.0" encoding="utf-8"?>
<table xmlns="http://schemas.openxmlformats.org/spreadsheetml/2006/main" ref="A1:A3" displayName="tblPhanLoai" name="tblPhanLoai" id="5">
  <tableColumns count="1">
    <tableColumn name="P.loại" id="1"/>
  </tableColumns>
  <tableStyleInfo name="PhanLoai-style" showColumnStripes="0" showFirstColumn="1" showLastColumn="1" showRowStripes="1"/>
</table>
</file>

<file path=xl/tables/table6.xml><?xml version="1.0" encoding="utf-8"?>
<table xmlns="http://schemas.openxmlformats.org/spreadsheetml/2006/main" ref="A1:B28" displayName="Bảng_1" name="Bảng_1" id="6">
  <tableColumns count="2">
    <tableColumn name="Tên đầy đủ" id="1"/>
    <tableColumn name="Tên viết tắt" id="2"/>
  </tableColumns>
  <tableStyleInfo name="VietTat-style" showColumnStripes="0" showFirstColumn="1" showLastColumn="1" showRowStripes="1"/>
</table>
</file>

<file path=xl/tables/table7.xml><?xml version="1.0" encoding="utf-8"?>
<table xmlns="http://schemas.openxmlformats.org/spreadsheetml/2006/main" ref="A1:D9" displayName="Bảng_2" name="Bảng_2" id="7">
  <tableColumns count="4">
    <tableColumn name="Trường" id="1"/>
    <tableColumn name="Giá trị / Từ" id="2"/>
    <tableColumn name="Đến" id="3"/>
    <tableColumn name="Ghi chú" id="4"/>
  </tableColumns>
  <tableStyleInfo name="VietHoaD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RA68OGF3YehdY_cYsi-iQd5EIgmzg1Ha/view" TargetMode="External"/><Relationship Id="rId11" Type="http://schemas.openxmlformats.org/officeDocument/2006/relationships/hyperlink" Target="https://drive.google.com/file/d/1LHAvI2shM-LVC7x6AdBii3hW-yX610QX/view" TargetMode="External"/><Relationship Id="rId10" Type="http://schemas.openxmlformats.org/officeDocument/2006/relationships/hyperlink" Target="https://drive.google.com/file/d/1RVznr14qOPVxAvy8Ww33OLUU5dLfI0kz/view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drive.google.com/file/d/1CutQAI3e4jDiqipbXTLD7zdYUrQVzQ0N/view" TargetMode="External"/><Relationship Id="rId12" Type="http://schemas.openxmlformats.org/officeDocument/2006/relationships/hyperlink" Target="https://drive.google.com/file/d/1OeSAQLUfIEgqNkJ0hLQFdI84JrXPPtO3/view" TargetMode="External"/><Relationship Id="rId23" Type="http://schemas.openxmlformats.org/officeDocument/2006/relationships/table" Target="../tables/table3.xml"/><Relationship Id="rId1" Type="http://schemas.openxmlformats.org/officeDocument/2006/relationships/hyperlink" Target="https://drive.google.com/file/d/1R0kB6sDA5_nd_3rz5PY5V5SE0xIIXQkb/view" TargetMode="External"/><Relationship Id="rId2" Type="http://schemas.openxmlformats.org/officeDocument/2006/relationships/hyperlink" Target="https://drive.google.com/file/d/1G11gfytPIATmM0Nz0dCF9-yZccBXDpXE/view" TargetMode="External"/><Relationship Id="rId3" Type="http://schemas.openxmlformats.org/officeDocument/2006/relationships/hyperlink" Target="https://drive.google.com/file/d/1YgqoTC7EfpUVdmNf4sFRJ6ug6giyM_ZX/view" TargetMode="External"/><Relationship Id="rId4" Type="http://schemas.openxmlformats.org/officeDocument/2006/relationships/hyperlink" Target="https://drive.google.com/file/d/1_aPiBrR47T4mi_8-SE3IUbAjhlJO6fhB/view" TargetMode="External"/><Relationship Id="rId9" Type="http://schemas.openxmlformats.org/officeDocument/2006/relationships/hyperlink" Target="https://drive.google.com/file/d/1BK2z7_aw6rPNnKYvdxup8BvpYjqWQTBy/view" TargetMode="External"/><Relationship Id="rId15" Type="http://schemas.openxmlformats.org/officeDocument/2006/relationships/hyperlink" Target="https://drive.google.com/file/d/1U0RvGnKzALvNRGyv6zGzRkIjGPivrkmH/view" TargetMode="External"/><Relationship Id="rId14" Type="http://schemas.openxmlformats.org/officeDocument/2006/relationships/hyperlink" Target="https://drive.google.com/file/d/13NuAXwk2oUibT8cuWQpaTpdFNh6mHRab/view" TargetMode="External"/><Relationship Id="rId17" Type="http://schemas.openxmlformats.org/officeDocument/2006/relationships/hyperlink" Target="https://drive.google.com/file/d/10sGjWbfqU418rkyAP6BWU-CvYG8pU4Nx/view" TargetMode="External"/><Relationship Id="rId16" Type="http://schemas.openxmlformats.org/officeDocument/2006/relationships/hyperlink" Target="https://drive.google.com/file/d/1ZjamfbsByiSlJsYA9441UOCiyYYyiDR9/view" TargetMode="External"/><Relationship Id="rId5" Type="http://schemas.openxmlformats.org/officeDocument/2006/relationships/hyperlink" Target="https://drive.google.com/file/d/1pPzWZA51Q9xeKVKhzivo3gLktqAA1KLC/view" TargetMode="External"/><Relationship Id="rId19" Type="http://schemas.openxmlformats.org/officeDocument/2006/relationships/hyperlink" Target="https://drive.google.com/file/d/1cVVW9u2zwM7uA4UzjYeejciVRU-yNDZk/view" TargetMode="External"/><Relationship Id="rId6" Type="http://schemas.openxmlformats.org/officeDocument/2006/relationships/hyperlink" Target="https://drive.google.com/file/d/11bB-CYcfuPHexCvnaLBGarCMY4gA_irO/view" TargetMode="External"/><Relationship Id="rId18" Type="http://schemas.openxmlformats.org/officeDocument/2006/relationships/hyperlink" Target="https://drive.google.com/file/d/1QFOkov74g4CZSt1FYKy9y6Th3AZzXWsm/view" TargetMode="External"/><Relationship Id="rId7" Type="http://schemas.openxmlformats.org/officeDocument/2006/relationships/hyperlink" Target="https://drive.google.com/file/d/1Y3NCKYMwo0uFwzQ4gUuaHlKh_QGb_TOi/view" TargetMode="External"/><Relationship Id="rId8" Type="http://schemas.openxmlformats.org/officeDocument/2006/relationships/hyperlink" Target="https://drive.google.com/file/d/1pUEGiwywYcuVfRcfTgI1tXKSYtA7LTvS/view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36.43"/>
    <col customWidth="1" min="3" max="3" width="16.0"/>
    <col customWidth="1" min="4" max="4" width="35.86"/>
    <col customWidth="1" min="5" max="5" width="45.29"/>
    <col customWidth="1" min="6" max="6" width="32.71"/>
    <col customWidth="1" min="8" max="8" width="2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4">
        <v>1834.13</v>
      </c>
      <c r="E2" s="4">
        <v>2.8512376208500005E7</v>
      </c>
      <c r="F2" s="4">
        <v>15545.450000000003</v>
      </c>
    </row>
    <row r="3" ht="22.5" customHeight="1">
      <c r="A3" s="5" t="s">
        <v>9</v>
      </c>
      <c r="B3" s="3" t="s">
        <v>10</v>
      </c>
      <c r="C3" s="3" t="s">
        <v>8</v>
      </c>
      <c r="D3" s="4">
        <v>0.0</v>
      </c>
      <c r="E3" s="4">
        <v>-1.862645149230957E-9</v>
      </c>
      <c r="F3" s="4">
        <v>0.0</v>
      </c>
    </row>
    <row r="4" ht="22.5" customHeight="1">
      <c r="A4" s="6" t="s">
        <v>11</v>
      </c>
      <c r="B4" s="3" t="s">
        <v>12</v>
      </c>
      <c r="C4" s="3" t="s">
        <v>8</v>
      </c>
      <c r="D4" s="4">
        <v>1069.7899999999809</v>
      </c>
      <c r="E4" s="4">
        <v>1.6008404344921608E7</v>
      </c>
      <c r="F4" s="4">
        <v>14964.06242806709</v>
      </c>
    </row>
    <row r="5" ht="22.5" customHeight="1">
      <c r="A5" s="7" t="s">
        <v>13</v>
      </c>
      <c r="B5" s="3" t="s">
        <v>14</v>
      </c>
      <c r="C5" s="3" t="s">
        <v>8</v>
      </c>
      <c r="D5" s="4">
        <v>10473.310000000001</v>
      </c>
      <c r="E5" s="4">
        <v>1.5719079564048812E8</v>
      </c>
      <c r="F5" s="4">
        <v>15008.702658518472</v>
      </c>
      <c r="H5" s="8" t="s">
        <v>15</v>
      </c>
    </row>
    <row r="6" ht="22.5" customHeight="1">
      <c r="A6" s="9" t="s">
        <v>16</v>
      </c>
      <c r="B6" s="3" t="s">
        <v>17</v>
      </c>
      <c r="C6" s="3" t="s">
        <v>8</v>
      </c>
      <c r="D6" s="4">
        <v>60.009999999999934</v>
      </c>
      <c r="E6" s="4">
        <v>874604.8903023433</v>
      </c>
      <c r="F6" s="4">
        <v>14574.319118519317</v>
      </c>
      <c r="H6" s="10">
        <v>46204.0</v>
      </c>
    </row>
    <row r="7" ht="22.5" customHeight="1">
      <c r="A7" s="11" t="s">
        <v>18</v>
      </c>
      <c r="B7" s="3" t="s">
        <v>19</v>
      </c>
      <c r="C7" s="3" t="s">
        <v>8</v>
      </c>
      <c r="D7" s="4">
        <v>6923.941000000035</v>
      </c>
      <c r="E7" s="4">
        <v>1.1160185255187103E8</v>
      </c>
      <c r="F7" s="4">
        <v>16118.255853403498</v>
      </c>
    </row>
    <row r="8" ht="22.5" customHeight="1">
      <c r="A8" s="12" t="s">
        <v>20</v>
      </c>
      <c r="B8" s="3" t="s">
        <v>21</v>
      </c>
      <c r="C8" s="3" t="s">
        <v>8</v>
      </c>
      <c r="D8" s="4">
        <v>0.0</v>
      </c>
      <c r="E8" s="4">
        <v>0.0</v>
      </c>
      <c r="F8" s="4">
        <v>0.0</v>
      </c>
    </row>
    <row r="9" ht="22.5" customHeight="1">
      <c r="A9" s="13" t="s">
        <v>22</v>
      </c>
      <c r="B9" s="3" t="s">
        <v>23</v>
      </c>
      <c r="C9" s="3" t="s">
        <v>8</v>
      </c>
      <c r="D9" s="4">
        <v>2588.0</v>
      </c>
      <c r="E9" s="4">
        <v>4.3289476E7</v>
      </c>
      <c r="F9" s="4">
        <v>16727.0</v>
      </c>
    </row>
    <row r="10" ht="22.5" customHeight="1">
      <c r="A10" s="14" t="s">
        <v>24</v>
      </c>
      <c r="B10" s="15"/>
      <c r="C10" s="15"/>
      <c r="D10" s="16">
        <f>SUM(tblTonKho[Số lượng])</f>
        <v>22949.181</v>
      </c>
      <c r="E10" s="16">
        <f>SUM(tblTonKho[Giá trị])</f>
        <v>357477509.6</v>
      </c>
      <c r="F10" s="17"/>
    </row>
  </sheetData>
  <mergeCells count="1">
    <mergeCell ref="H6:H8"/>
  </mergeCells>
  <dataValidations>
    <dataValidation type="custom" allowBlank="1" showDropDown="1" sqref="D2:F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min="2" max="2" width="18.14"/>
    <col customWidth="1" min="3" max="3" width="14.29"/>
    <col customWidth="1" min="4" max="4" width="29.57"/>
    <col customWidth="1" min="5" max="5" width="28.29"/>
    <col customWidth="1" min="6" max="6" width="25.43"/>
    <col customWidth="1" min="7" max="7" width="15.86"/>
    <col customWidth="1" min="8" max="8" width="19.43"/>
    <col customWidth="1" min="9" max="9" width="19.86"/>
    <col customWidth="1" min="10" max="10" width="21.86"/>
    <col customWidth="1" min="11" max="11" width="19.29"/>
    <col customWidth="1" min="12" max="12" width="24.57"/>
    <col customWidth="1" min="13" max="13" width="26.86"/>
    <col customWidth="1" min="14" max="14" width="18.43"/>
  </cols>
  <sheetData>
    <row r="1" ht="22.5" customHeight="1">
      <c r="A1" s="18" t="s">
        <v>25</v>
      </c>
      <c r="B1" s="18" t="s">
        <v>26</v>
      </c>
      <c r="C1" s="18" t="s">
        <v>27</v>
      </c>
      <c r="D1" s="18" t="s">
        <v>28</v>
      </c>
      <c r="E1" s="18" t="s">
        <v>0</v>
      </c>
      <c r="F1" s="18" t="s">
        <v>1</v>
      </c>
      <c r="G1" s="18" t="s">
        <v>29</v>
      </c>
      <c r="H1" s="18" t="s">
        <v>3</v>
      </c>
      <c r="I1" s="18" t="s">
        <v>30</v>
      </c>
      <c r="J1" s="19" t="s">
        <v>31</v>
      </c>
      <c r="K1" s="19" t="s">
        <v>5</v>
      </c>
      <c r="L1" s="19" t="s">
        <v>32</v>
      </c>
      <c r="M1" s="19" t="s">
        <v>33</v>
      </c>
      <c r="N1" s="19" t="s">
        <v>34</v>
      </c>
      <c r="O1" s="20" t="s">
        <v>35</v>
      </c>
      <c r="P1" s="20" t="s">
        <v>36</v>
      </c>
    </row>
    <row r="2" ht="22.5" customHeight="1">
      <c r="A2" s="21">
        <f t="array" ref="A2:A1333">IF(B2:B1333="","",
  COUNTIFS(B2:B1333,"&lt;"&amp;B2:B1333)
+ COUNTIFS(B2:B1333,B2:B1333,G2:G1333,"&lt;"&amp;G2:G1333)
+ COUNTIFS(B2:B1333,B2:B1333,G2:G1333,G2:G1333,ROW(B2:B1333),"&lt;="&amp;ROW(B2:B1333))
)</f>
        <v>1</v>
      </c>
      <c r="B2" s="22">
        <v>41856.0</v>
      </c>
      <c r="C2" s="23">
        <v>750.0</v>
      </c>
      <c r="D2" s="24" t="s">
        <v>37</v>
      </c>
      <c r="E2" s="25" t="s">
        <v>11</v>
      </c>
      <c r="F2" s="26"/>
      <c r="G2" s="27" t="s">
        <v>38</v>
      </c>
      <c r="H2" s="28">
        <v>880.0</v>
      </c>
      <c r="I2" s="28">
        <v>15500.0</v>
      </c>
      <c r="J2" s="29">
        <v>1.364E7</v>
      </c>
      <c r="K2" s="29">
        <v>15500.0</v>
      </c>
      <c r="L2" s="30">
        <v>880.0</v>
      </c>
      <c r="M2" s="29">
        <v>1.364E7</v>
      </c>
      <c r="N2" s="31" t="s">
        <v>39</v>
      </c>
      <c r="O2" s="32"/>
      <c r="P2" s="33" t="str">
        <f t="array" ref="P2">IFERROR(
HYPERLINK(
"https://drive.google.com/file/d/"&amp;
XLOOKUP(O2,'Hoa-Don'!A:A,'Hoa-Don'!D:D)
&amp;"/view",
"🔎"
),
""
)</f>
        <v/>
      </c>
    </row>
    <row r="3" ht="22.5" customHeight="1">
      <c r="A3" s="34">
        <v>2.0</v>
      </c>
      <c r="B3" s="22">
        <v>41860.0</v>
      </c>
      <c r="C3" s="23">
        <v>961.0</v>
      </c>
      <c r="D3" s="24" t="s">
        <v>40</v>
      </c>
      <c r="E3" s="35" t="s">
        <v>18</v>
      </c>
      <c r="F3" s="26"/>
      <c r="G3" s="27" t="s">
        <v>38</v>
      </c>
      <c r="H3" s="28">
        <v>9550.0</v>
      </c>
      <c r="I3" s="28">
        <v>11454.55</v>
      </c>
      <c r="J3" s="29">
        <v>1.093909525E8</v>
      </c>
      <c r="K3" s="29">
        <v>11454.55</v>
      </c>
      <c r="L3" s="30">
        <v>9550.0</v>
      </c>
      <c r="M3" s="29">
        <v>1.093909525E8</v>
      </c>
      <c r="N3" s="31" t="s">
        <v>41</v>
      </c>
      <c r="O3" s="32"/>
      <c r="P3" s="33" t="str">
        <f t="array" ref="P3">IFERROR(
HYPERLINK(
"https://drive.google.com/file/d/"&amp;
XLOOKUP(O3,'Hoa-Don'!A:A,'Hoa-Don'!D:D)
&amp;"/view",
"🔎"
),
""
)</f>
        <v/>
      </c>
    </row>
    <row r="4" ht="22.5" customHeight="1">
      <c r="A4" s="34">
        <v>3.0</v>
      </c>
      <c r="B4" s="22">
        <v>41866.0</v>
      </c>
      <c r="C4" s="23">
        <v>1.0</v>
      </c>
      <c r="D4" s="24" t="s">
        <v>37</v>
      </c>
      <c r="E4" s="35" t="s">
        <v>18</v>
      </c>
      <c r="F4" s="26"/>
      <c r="G4" s="36" t="s">
        <v>42</v>
      </c>
      <c r="H4" s="28">
        <v>850.0</v>
      </c>
      <c r="I4" s="28">
        <v>11454.55</v>
      </c>
      <c r="J4" s="29">
        <v>9736367.5</v>
      </c>
      <c r="K4" s="29">
        <v>11454.55</v>
      </c>
      <c r="L4" s="30">
        <v>8700.0</v>
      </c>
      <c r="M4" s="29">
        <v>9.9654585E7</v>
      </c>
      <c r="N4" s="31" t="s">
        <v>43</v>
      </c>
      <c r="O4" s="32"/>
      <c r="P4" s="33" t="str">
        <f t="array" ref="P4">IFERROR(
HYPERLINK(
"https://drive.google.com/file/d/"&amp;
XLOOKUP(O4,'Hoa-Don'!A:A,'Hoa-Don'!D:D)
&amp;"/view",
"🔎"
),
""
)</f>
        <v/>
      </c>
    </row>
    <row r="5" ht="22.5" customHeight="1">
      <c r="A5" s="34">
        <v>4.0</v>
      </c>
      <c r="B5" s="22">
        <v>41878.0</v>
      </c>
      <c r="C5" s="23">
        <v>3.0</v>
      </c>
      <c r="D5" s="24" t="s">
        <v>44</v>
      </c>
      <c r="E5" s="35" t="s">
        <v>18</v>
      </c>
      <c r="F5" s="26"/>
      <c r="G5" s="36" t="s">
        <v>42</v>
      </c>
      <c r="H5" s="28">
        <v>92.0</v>
      </c>
      <c r="I5" s="28">
        <v>11454.55</v>
      </c>
      <c r="J5" s="29">
        <v>1053818.5999999999</v>
      </c>
      <c r="K5" s="29">
        <v>11454.55</v>
      </c>
      <c r="L5" s="30">
        <v>8608.0</v>
      </c>
      <c r="M5" s="29">
        <v>9.860076639999999E7</v>
      </c>
      <c r="N5" s="31" t="s">
        <v>45</v>
      </c>
      <c r="O5" s="32"/>
      <c r="P5" s="33" t="str">
        <f t="array" ref="P5">IFERROR(
HYPERLINK(
"https://drive.google.com/file/d/"&amp;
XLOOKUP(O5,'Hoa-Don'!A:A,'Hoa-Don'!D:D)
&amp;"/view",
"🔎"
),
""
)</f>
        <v/>
      </c>
    </row>
    <row r="6" ht="22.5" customHeight="1">
      <c r="A6" s="34">
        <v>5.0</v>
      </c>
      <c r="B6" s="22">
        <v>41914.0</v>
      </c>
      <c r="C6" s="23">
        <v>5.0</v>
      </c>
      <c r="D6" s="24" t="s">
        <v>46</v>
      </c>
      <c r="E6" s="35" t="s">
        <v>18</v>
      </c>
      <c r="F6" s="26"/>
      <c r="G6" s="36" t="s">
        <v>42</v>
      </c>
      <c r="H6" s="28">
        <v>147.0</v>
      </c>
      <c r="I6" s="28">
        <v>11454.55</v>
      </c>
      <c r="J6" s="29">
        <v>1683818.8499999999</v>
      </c>
      <c r="K6" s="29">
        <v>11454.55</v>
      </c>
      <c r="L6" s="30">
        <v>8461.0</v>
      </c>
      <c r="M6" s="29">
        <v>9.691694755E7</v>
      </c>
      <c r="N6" s="31" t="s">
        <v>47</v>
      </c>
      <c r="O6" s="32"/>
      <c r="P6" s="33" t="str">
        <f t="array" ref="P6">IFERROR(
HYPERLINK(
"https://drive.google.com/file/d/"&amp;
XLOOKUP(O6,'Hoa-Don'!A:A,'Hoa-Don'!D:D)
&amp;"/view",
"🔎"
),
""
)</f>
        <v/>
      </c>
    </row>
    <row r="7" ht="22.5" customHeight="1">
      <c r="A7" s="21">
        <v>6.0</v>
      </c>
      <c r="B7" s="22">
        <v>41915.0</v>
      </c>
      <c r="C7" s="23">
        <v>6.0</v>
      </c>
      <c r="D7" s="24" t="s">
        <v>48</v>
      </c>
      <c r="E7" s="35" t="s">
        <v>18</v>
      </c>
      <c r="F7" s="26"/>
      <c r="G7" s="36" t="s">
        <v>42</v>
      </c>
      <c r="H7" s="28">
        <v>1189.0</v>
      </c>
      <c r="I7" s="28">
        <v>11454.55</v>
      </c>
      <c r="J7" s="29">
        <v>1.361945995E7</v>
      </c>
      <c r="K7" s="29">
        <v>11454.55</v>
      </c>
      <c r="L7" s="30">
        <v>7272.0</v>
      </c>
      <c r="M7" s="29">
        <v>8.32974876E7</v>
      </c>
      <c r="N7" s="31" t="s">
        <v>49</v>
      </c>
      <c r="O7" s="32"/>
      <c r="P7" s="33" t="str">
        <f t="array" ref="P7">IFERROR(
HYPERLINK(
"https://drive.google.com/file/d/"&amp;
XLOOKUP(O7,'Hoa-Don'!A:A,'Hoa-Don'!D:D)
&amp;"/view",
"🔎"
),
""
)</f>
        <v/>
      </c>
    </row>
    <row r="8" ht="22.5" customHeight="1">
      <c r="A8" s="34">
        <v>7.0</v>
      </c>
      <c r="B8" s="22">
        <v>41915.0</v>
      </c>
      <c r="C8" s="23">
        <v>7.0</v>
      </c>
      <c r="D8" s="24" t="s">
        <v>50</v>
      </c>
      <c r="E8" s="35" t="s">
        <v>18</v>
      </c>
      <c r="F8" s="26"/>
      <c r="G8" s="36" t="s">
        <v>42</v>
      </c>
      <c r="H8" s="28">
        <v>220.0</v>
      </c>
      <c r="I8" s="28">
        <v>11454.55</v>
      </c>
      <c r="J8" s="29">
        <v>2520001.0</v>
      </c>
      <c r="K8" s="29">
        <v>11454.55</v>
      </c>
      <c r="L8" s="30">
        <v>7052.0</v>
      </c>
      <c r="M8" s="29">
        <v>8.07774866E7</v>
      </c>
      <c r="N8" s="31" t="s">
        <v>51</v>
      </c>
      <c r="O8" s="32"/>
      <c r="P8" s="33" t="str">
        <f t="array" ref="P8">IFERROR(
HYPERLINK(
"https://drive.google.com/file/d/"&amp;
XLOOKUP(O8,'Hoa-Don'!A:A,'Hoa-Don'!D:D)
&amp;"/view",
"🔎"
),
""
)</f>
        <v/>
      </c>
    </row>
    <row r="9" ht="22.5" customHeight="1">
      <c r="A9" s="34">
        <v>8.0</v>
      </c>
      <c r="B9" s="22">
        <v>41939.0</v>
      </c>
      <c r="C9" s="23">
        <v>2823.0</v>
      </c>
      <c r="D9" s="24" t="s">
        <v>52</v>
      </c>
      <c r="E9" s="35" t="s">
        <v>18</v>
      </c>
      <c r="F9" s="26"/>
      <c r="G9" s="27" t="s">
        <v>38</v>
      </c>
      <c r="H9" s="28">
        <v>6290.0</v>
      </c>
      <c r="I9" s="28">
        <v>11000.0</v>
      </c>
      <c r="J9" s="29">
        <v>6.919E7</v>
      </c>
      <c r="K9" s="29">
        <v>11240.255329036127</v>
      </c>
      <c r="L9" s="30">
        <v>13342.0</v>
      </c>
      <c r="M9" s="29">
        <v>1.499674866E8</v>
      </c>
      <c r="N9" s="31" t="s">
        <v>53</v>
      </c>
      <c r="O9" s="32"/>
      <c r="P9" s="33" t="str">
        <f t="array" ref="P9">IFERROR(
HYPERLINK(
"https://drive.google.com/file/d/"&amp;
XLOOKUP(O9,'Hoa-Don'!A:A,'Hoa-Don'!D:D)
&amp;"/view",
"🔎"
),
""
)</f>
        <v/>
      </c>
    </row>
    <row r="10" ht="22.5" customHeight="1">
      <c r="A10" s="34">
        <v>9.0</v>
      </c>
      <c r="B10" s="22">
        <v>41956.0</v>
      </c>
      <c r="C10" s="23">
        <v>160.0</v>
      </c>
      <c r="D10" s="24" t="s">
        <v>54</v>
      </c>
      <c r="E10" s="25" t="s">
        <v>11</v>
      </c>
      <c r="F10" s="26"/>
      <c r="G10" s="27" t="s">
        <v>38</v>
      </c>
      <c r="H10" s="28">
        <v>1385.0</v>
      </c>
      <c r="I10" s="28">
        <v>13000.0</v>
      </c>
      <c r="J10" s="29">
        <v>1.8005E7</v>
      </c>
      <c r="K10" s="29">
        <v>13971.302428256071</v>
      </c>
      <c r="L10" s="30">
        <v>2265.0</v>
      </c>
      <c r="M10" s="29">
        <v>3.1645E7</v>
      </c>
      <c r="N10" s="31" t="s">
        <v>55</v>
      </c>
      <c r="O10" s="32"/>
      <c r="P10" s="33" t="str">
        <f t="array" ref="P10">IFERROR(
HYPERLINK(
"https://drive.google.com/file/d/"&amp;
XLOOKUP(O10,'Hoa-Don'!A:A,'Hoa-Don'!D:D)
&amp;"/view",
"🔎"
),
""
)</f>
        <v/>
      </c>
    </row>
    <row r="11" ht="22.5" customHeight="1">
      <c r="A11" s="34">
        <v>10.0</v>
      </c>
      <c r="B11" s="22">
        <v>41958.0</v>
      </c>
      <c r="C11" s="23">
        <v>8.0</v>
      </c>
      <c r="D11" s="24" t="s">
        <v>48</v>
      </c>
      <c r="E11" s="35" t="s">
        <v>18</v>
      </c>
      <c r="F11" s="26"/>
      <c r="G11" s="36" t="s">
        <v>42</v>
      </c>
      <c r="H11" s="28">
        <v>1286.0</v>
      </c>
      <c r="I11" s="28">
        <v>11240.255329036127</v>
      </c>
      <c r="J11" s="29">
        <v>1.4454968353140458E7</v>
      </c>
      <c r="K11" s="29">
        <v>11240.255329036127</v>
      </c>
      <c r="L11" s="30">
        <v>12056.0</v>
      </c>
      <c r="M11" s="29">
        <v>1.3551251824685955E8</v>
      </c>
      <c r="N11" s="31" t="s">
        <v>56</v>
      </c>
      <c r="O11" s="32"/>
      <c r="P11" s="33" t="str">
        <f t="array" ref="P11">IFERROR(
HYPERLINK(
"https://drive.google.com/file/d/"&amp;
XLOOKUP(O11,'Hoa-Don'!A:A,'Hoa-Don'!D:D)
&amp;"/view",
"🔎"
),
""
)</f>
        <v/>
      </c>
    </row>
    <row r="12" ht="22.5" customHeight="1">
      <c r="A12" s="21">
        <v>11.0</v>
      </c>
      <c r="B12" s="22">
        <v>41965.0</v>
      </c>
      <c r="C12" s="23">
        <v>178.0</v>
      </c>
      <c r="D12" s="24" t="s">
        <v>54</v>
      </c>
      <c r="E12" s="25" t="s">
        <v>11</v>
      </c>
      <c r="F12" s="26"/>
      <c r="G12" s="27" t="s">
        <v>38</v>
      </c>
      <c r="H12" s="28">
        <v>1380.0</v>
      </c>
      <c r="I12" s="28">
        <v>13000.0</v>
      </c>
      <c r="J12" s="29">
        <v>1.794E7</v>
      </c>
      <c r="K12" s="29">
        <v>13603.566529492455</v>
      </c>
      <c r="L12" s="30">
        <v>3645.0</v>
      </c>
      <c r="M12" s="29">
        <v>4.9585E7</v>
      </c>
      <c r="N12" s="31" t="s">
        <v>57</v>
      </c>
      <c r="O12" s="32"/>
      <c r="P12" s="33" t="str">
        <f t="array" ref="P12">IFERROR(
HYPERLINK(
"https://drive.google.com/file/d/"&amp;
XLOOKUP(O12,'Hoa-Don'!A:A,'Hoa-Don'!D:D)
&amp;"/view",
"🔎"
),
""
)</f>
        <v/>
      </c>
    </row>
    <row r="13" ht="22.5" customHeight="1">
      <c r="A13" s="34">
        <v>12.0</v>
      </c>
      <c r="B13" s="22">
        <v>41967.0</v>
      </c>
      <c r="C13" s="23">
        <v>180.0</v>
      </c>
      <c r="D13" s="24" t="s">
        <v>54</v>
      </c>
      <c r="E13" s="25" t="s">
        <v>11</v>
      </c>
      <c r="F13" s="26"/>
      <c r="G13" s="27" t="s">
        <v>38</v>
      </c>
      <c r="H13" s="28">
        <v>1235.0</v>
      </c>
      <c r="I13" s="28">
        <v>13000.0</v>
      </c>
      <c r="J13" s="29">
        <v>1.6055E7</v>
      </c>
      <c r="K13" s="29">
        <v>13450.819672131147</v>
      </c>
      <c r="L13" s="30">
        <v>4880.0</v>
      </c>
      <c r="M13" s="29">
        <v>6.564E7</v>
      </c>
      <c r="N13" s="31" t="s">
        <v>58</v>
      </c>
      <c r="O13" s="32"/>
      <c r="P13" s="33" t="str">
        <f t="array" ref="P13">IFERROR(
HYPERLINK(
"https://drive.google.com/file/d/"&amp;
XLOOKUP(O13,'Hoa-Don'!A:A,'Hoa-Don'!D:D)
&amp;"/view",
"🔎"
),
""
)</f>
        <v/>
      </c>
    </row>
    <row r="14" ht="22.5" customHeight="1">
      <c r="A14" s="34">
        <v>13.0</v>
      </c>
      <c r="B14" s="22">
        <v>41969.0</v>
      </c>
      <c r="C14" s="23">
        <v>9.0</v>
      </c>
      <c r="D14" s="24" t="s">
        <v>48</v>
      </c>
      <c r="E14" s="35" t="s">
        <v>18</v>
      </c>
      <c r="F14" s="26"/>
      <c r="G14" s="36" t="s">
        <v>42</v>
      </c>
      <c r="H14" s="28">
        <v>988.0</v>
      </c>
      <c r="I14" s="28">
        <v>11240.255329036127</v>
      </c>
      <c r="J14" s="29">
        <v>1.1105372265087694E7</v>
      </c>
      <c r="K14" s="29">
        <v>11240.255329036127</v>
      </c>
      <c r="L14" s="30">
        <v>11068.0</v>
      </c>
      <c r="M14" s="29">
        <v>1.2440714598177184E8</v>
      </c>
      <c r="N14" s="31" t="s">
        <v>59</v>
      </c>
      <c r="O14" s="32"/>
      <c r="P14" s="33" t="str">
        <f t="array" ref="P14">IFERROR(
HYPERLINK(
"https://drive.google.com/file/d/"&amp;
XLOOKUP(O14,'Hoa-Don'!A:A,'Hoa-Don'!D:D)
&amp;"/view",
"🔎"
),
""
)</f>
        <v/>
      </c>
    </row>
    <row r="15" ht="22.5" customHeight="1">
      <c r="A15" s="34">
        <v>14.0</v>
      </c>
      <c r="B15" s="22">
        <v>41975.0</v>
      </c>
      <c r="C15" s="23">
        <v>10.0</v>
      </c>
      <c r="D15" s="24" t="s">
        <v>48</v>
      </c>
      <c r="E15" s="35" t="s">
        <v>18</v>
      </c>
      <c r="F15" s="26"/>
      <c r="G15" s="36" t="s">
        <v>42</v>
      </c>
      <c r="H15" s="28">
        <v>637.0</v>
      </c>
      <c r="I15" s="28">
        <v>11240.255329036127</v>
      </c>
      <c r="J15" s="29">
        <v>7160042.644596012</v>
      </c>
      <c r="K15" s="29">
        <v>11240.255329036127</v>
      </c>
      <c r="L15" s="30">
        <v>10431.0</v>
      </c>
      <c r="M15" s="29">
        <v>1.1724710333717583E8</v>
      </c>
      <c r="N15" s="31" t="s">
        <v>60</v>
      </c>
      <c r="O15" s="32"/>
      <c r="P15" s="33" t="str">
        <f t="array" ref="P15">IFERROR(
HYPERLINK(
"https://drive.google.com/file/d/"&amp;
XLOOKUP(O15,'Hoa-Don'!A:A,'Hoa-Don'!D:D)
&amp;"/view",
"🔎"
),
""
)</f>
        <v/>
      </c>
    </row>
    <row r="16" ht="22.5" customHeight="1">
      <c r="A16" s="34">
        <v>15.0</v>
      </c>
      <c r="B16" s="22">
        <v>41996.0</v>
      </c>
      <c r="C16" s="23">
        <v>11.0</v>
      </c>
      <c r="D16" s="24" t="s">
        <v>61</v>
      </c>
      <c r="E16" s="35" t="s">
        <v>18</v>
      </c>
      <c r="F16" s="26"/>
      <c r="G16" s="36" t="s">
        <v>42</v>
      </c>
      <c r="H16" s="28">
        <v>215.4</v>
      </c>
      <c r="I16" s="28">
        <v>11240.255329036127</v>
      </c>
      <c r="J16" s="29">
        <v>2421150.997874382</v>
      </c>
      <c r="K16" s="29">
        <v>11240.255329036127</v>
      </c>
      <c r="L16" s="30">
        <v>10215.6</v>
      </c>
      <c r="M16" s="29">
        <v>1.1482595233930145E8</v>
      </c>
      <c r="N16" s="31" t="s">
        <v>62</v>
      </c>
      <c r="O16" s="32"/>
      <c r="P16" s="33" t="str">
        <f t="array" ref="P16">IFERROR(
HYPERLINK(
"https://drive.google.com/file/d/"&amp;
XLOOKUP(O16,'Hoa-Don'!A:A,'Hoa-Don'!D:D)
&amp;"/view",
"🔎"
),
""
)</f>
        <v/>
      </c>
    </row>
    <row r="17" ht="22.5" customHeight="1">
      <c r="A17" s="34">
        <v>16.0</v>
      </c>
      <c r="B17" s="22">
        <v>42001.0</v>
      </c>
      <c r="C17" s="23">
        <v>12.0</v>
      </c>
      <c r="D17" s="24" t="s">
        <v>63</v>
      </c>
      <c r="E17" s="35" t="s">
        <v>18</v>
      </c>
      <c r="F17" s="26"/>
      <c r="G17" s="36" t="s">
        <v>42</v>
      </c>
      <c r="H17" s="28">
        <v>470.0</v>
      </c>
      <c r="I17" s="28">
        <v>11240.255329036127</v>
      </c>
      <c r="J17" s="29">
        <v>5282920.004646979</v>
      </c>
      <c r="K17" s="29">
        <v>11240.255329036127</v>
      </c>
      <c r="L17" s="30">
        <v>9745.6</v>
      </c>
      <c r="M17" s="29">
        <v>1.0954303233465448E8</v>
      </c>
      <c r="N17" s="31" t="s">
        <v>64</v>
      </c>
      <c r="O17" s="32"/>
      <c r="P17" s="33" t="str">
        <f t="array" ref="P17">IFERROR(
HYPERLINK(
"https://drive.google.com/file/d/"&amp;
XLOOKUP(O17,'Hoa-Don'!A:A,'Hoa-Don'!D:D)
&amp;"/view",
"🔎"
),
""
)</f>
        <v/>
      </c>
    </row>
    <row r="18" ht="22.5" customHeight="1">
      <c r="A18" s="34">
        <v>17.0</v>
      </c>
      <c r="B18" s="22">
        <v>42002.0</v>
      </c>
      <c r="C18" s="23">
        <v>14.0</v>
      </c>
      <c r="D18" s="24" t="s">
        <v>48</v>
      </c>
      <c r="E18" s="35" t="s">
        <v>18</v>
      </c>
      <c r="F18" s="26"/>
      <c r="G18" s="36" t="s">
        <v>42</v>
      </c>
      <c r="H18" s="28">
        <v>700.0</v>
      </c>
      <c r="I18" s="28">
        <v>11240.255329036127</v>
      </c>
      <c r="J18" s="29">
        <v>7868178.730325288</v>
      </c>
      <c r="K18" s="29">
        <v>11240.255329036127</v>
      </c>
      <c r="L18" s="30">
        <v>9045.6</v>
      </c>
      <c r="M18" s="29">
        <v>1.0167485360432918E8</v>
      </c>
      <c r="N18" s="31" t="s">
        <v>65</v>
      </c>
      <c r="O18" s="32"/>
      <c r="P18" s="33" t="str">
        <f t="array" ref="P18">IFERROR(
HYPERLINK(
"https://drive.google.com/file/d/"&amp;
XLOOKUP(O18,'Hoa-Don'!A:A,'Hoa-Don'!D:D)
&amp;"/view",
"🔎"
),
""
)</f>
        <v/>
      </c>
    </row>
    <row r="19" ht="22.5" customHeight="1">
      <c r="A19" s="21">
        <v>18.0</v>
      </c>
      <c r="B19" s="22">
        <v>42003.0</v>
      </c>
      <c r="C19" s="23">
        <v>15.0</v>
      </c>
      <c r="D19" s="24" t="s">
        <v>48</v>
      </c>
      <c r="E19" s="35" t="s">
        <v>18</v>
      </c>
      <c r="F19" s="26"/>
      <c r="G19" s="36" t="s">
        <v>42</v>
      </c>
      <c r="H19" s="28">
        <v>703.0</v>
      </c>
      <c r="I19" s="28">
        <v>11240.255329036127</v>
      </c>
      <c r="J19" s="29">
        <v>7901899.496312397</v>
      </c>
      <c r="K19" s="29">
        <v>11240.255329036127</v>
      </c>
      <c r="L19" s="30">
        <v>8342.6</v>
      </c>
      <c r="M19" s="29">
        <v>9.377295410801679E7</v>
      </c>
      <c r="N19" s="31" t="s">
        <v>66</v>
      </c>
      <c r="O19" s="32"/>
      <c r="P19" s="33" t="str">
        <f t="array" ref="P19">IFERROR(
HYPERLINK(
"https://drive.google.com/file/d/"&amp;
XLOOKUP(O19,'Hoa-Don'!A:A,'Hoa-Don'!D:D)
&amp;"/view",
"🔎"
),
""
)</f>
        <v/>
      </c>
    </row>
    <row r="20" ht="22.5" customHeight="1">
      <c r="A20" s="21">
        <v>19.0</v>
      </c>
      <c r="B20" s="22">
        <v>42029.0</v>
      </c>
      <c r="C20" s="23">
        <v>16.0</v>
      </c>
      <c r="D20" s="24" t="s">
        <v>63</v>
      </c>
      <c r="E20" s="35" t="s">
        <v>18</v>
      </c>
      <c r="F20" s="26"/>
      <c r="G20" s="36" t="s">
        <v>42</v>
      </c>
      <c r="H20" s="28">
        <v>698.0</v>
      </c>
      <c r="I20" s="28">
        <v>11240.255329036127</v>
      </c>
      <c r="J20" s="29">
        <v>7845698.219667217</v>
      </c>
      <c r="K20" s="29">
        <v>11240.255329036127</v>
      </c>
      <c r="L20" s="30">
        <v>7644.6</v>
      </c>
      <c r="M20" s="29">
        <v>8.592725588834958E7</v>
      </c>
      <c r="N20" s="31" t="s">
        <v>67</v>
      </c>
      <c r="O20" s="32"/>
      <c r="P20" s="33" t="str">
        <f t="array" ref="P20">IFERROR(
HYPERLINK(
"https://drive.google.com/file/d/"&amp;
XLOOKUP(O20,'Hoa-Don'!A:A,'Hoa-Don'!D:D)
&amp;"/view",
"🔎"
),
""
)</f>
        <v/>
      </c>
    </row>
    <row r="21" ht="22.5" customHeight="1">
      <c r="A21" s="21">
        <v>20.0</v>
      </c>
      <c r="B21" s="22">
        <v>42036.0</v>
      </c>
      <c r="C21" s="23">
        <v>17.0</v>
      </c>
      <c r="D21" s="24" t="s">
        <v>63</v>
      </c>
      <c r="E21" s="35" t="s">
        <v>18</v>
      </c>
      <c r="F21" s="26"/>
      <c r="G21" s="36" t="s">
        <v>42</v>
      </c>
      <c r="H21" s="28">
        <v>951.0</v>
      </c>
      <c r="I21" s="28">
        <v>11240.255329036127</v>
      </c>
      <c r="J21" s="29">
        <v>1.0689482817913357E7</v>
      </c>
      <c r="K21" s="29">
        <v>11240.255329036127</v>
      </c>
      <c r="L21" s="30">
        <v>6693.6</v>
      </c>
      <c r="M21" s="29">
        <v>7.523777307043622E7</v>
      </c>
      <c r="N21" s="31" t="s">
        <v>68</v>
      </c>
      <c r="O21" s="32"/>
      <c r="P21" s="33" t="str">
        <f t="array" ref="P21">IFERROR(
HYPERLINK(
"https://drive.google.com/file/d/"&amp;
XLOOKUP(O21,'Hoa-Don'!A:A,'Hoa-Don'!D:D)
&amp;"/view",
"🔎"
),
""
)</f>
        <v/>
      </c>
    </row>
    <row r="22" ht="22.5" customHeight="1">
      <c r="A22" s="21">
        <v>21.0</v>
      </c>
      <c r="B22" s="22">
        <v>42063.0</v>
      </c>
      <c r="C22" s="23">
        <v>2000.0</v>
      </c>
      <c r="D22" s="24" t="s">
        <v>69</v>
      </c>
      <c r="E22" s="35" t="s">
        <v>18</v>
      </c>
      <c r="F22" s="26"/>
      <c r="G22" s="27" t="s">
        <v>38</v>
      </c>
      <c r="H22" s="28">
        <v>13590.0</v>
      </c>
      <c r="I22" s="28">
        <v>9818.18</v>
      </c>
      <c r="J22" s="29">
        <v>1.334290662E8</v>
      </c>
      <c r="K22" s="29">
        <v>10287.46569989727</v>
      </c>
      <c r="L22" s="30">
        <v>20283.6</v>
      </c>
      <c r="M22" s="29">
        <v>2.0866683927043623E8</v>
      </c>
      <c r="N22" s="31" t="s">
        <v>70</v>
      </c>
      <c r="O22" s="32"/>
      <c r="P22" s="33" t="str">
        <f t="array" ref="P22">IFERROR(
HYPERLINK(
"https://drive.google.com/file/d/"&amp;
XLOOKUP(O22,'Hoa-Don'!A:A,'Hoa-Don'!D:D)
&amp;"/view",
"🔎"
),
""
)</f>
        <v/>
      </c>
    </row>
    <row r="23" ht="22.5" customHeight="1">
      <c r="A23" s="21">
        <v>22.0</v>
      </c>
      <c r="B23" s="22">
        <v>42065.0</v>
      </c>
      <c r="C23" s="23">
        <v>1140.0</v>
      </c>
      <c r="D23" s="24" t="s">
        <v>71</v>
      </c>
      <c r="E23" s="25" t="s">
        <v>11</v>
      </c>
      <c r="F23" s="26"/>
      <c r="G23" s="27" t="s">
        <v>38</v>
      </c>
      <c r="H23" s="28">
        <v>900.0</v>
      </c>
      <c r="I23" s="28">
        <v>11818.0</v>
      </c>
      <c r="J23" s="29">
        <v>1.06362E7</v>
      </c>
      <c r="K23" s="29">
        <v>13196.574394463667</v>
      </c>
      <c r="L23" s="30">
        <v>5780.0</v>
      </c>
      <c r="M23" s="29">
        <v>7.62762E7</v>
      </c>
      <c r="N23" s="31" t="s">
        <v>72</v>
      </c>
      <c r="O23" s="32"/>
      <c r="P23" s="33" t="str">
        <f t="array" ref="P23">IFERROR(
HYPERLINK(
"https://drive.google.com/file/d/"&amp;
XLOOKUP(O23,'Hoa-Don'!A:A,'Hoa-Don'!D:D)
&amp;"/view",
"🔎"
),
""
)</f>
        <v/>
      </c>
    </row>
    <row r="24" ht="22.5" customHeight="1">
      <c r="A24" s="21">
        <v>23.0</v>
      </c>
      <c r="B24" s="22">
        <v>42068.0</v>
      </c>
      <c r="C24" s="23">
        <v>1167.0</v>
      </c>
      <c r="D24" s="24" t="s">
        <v>71</v>
      </c>
      <c r="E24" s="25" t="s">
        <v>11</v>
      </c>
      <c r="F24" s="26"/>
      <c r="G24" s="27" t="s">
        <v>38</v>
      </c>
      <c r="H24" s="28">
        <v>1500.0</v>
      </c>
      <c r="I24" s="28">
        <v>11818.18</v>
      </c>
      <c r="J24" s="29">
        <v>1.772727E7</v>
      </c>
      <c r="K24" s="29">
        <v>12912.564560439561</v>
      </c>
      <c r="L24" s="30">
        <v>7280.0</v>
      </c>
      <c r="M24" s="29">
        <v>9.400347E7</v>
      </c>
      <c r="N24" s="31" t="s">
        <v>73</v>
      </c>
      <c r="O24" s="32"/>
      <c r="P24" s="33" t="str">
        <f t="array" ref="P24">IFERROR(
HYPERLINK(
"https://drive.google.com/file/d/"&amp;
XLOOKUP(O24,'Hoa-Don'!A:A,'Hoa-Don'!D:D)
&amp;"/view",
"🔎"
),
""
)</f>
        <v/>
      </c>
    </row>
    <row r="25" ht="22.5" customHeight="1">
      <c r="A25" s="21">
        <v>24.0</v>
      </c>
      <c r="B25" s="22">
        <v>42069.0</v>
      </c>
      <c r="C25" s="23">
        <v>18.0</v>
      </c>
      <c r="D25" s="24" t="s">
        <v>74</v>
      </c>
      <c r="E25" s="35" t="s">
        <v>18</v>
      </c>
      <c r="F25" s="26"/>
      <c r="G25" s="36" t="s">
        <v>42</v>
      </c>
      <c r="H25" s="28">
        <v>9100.0</v>
      </c>
      <c r="I25" s="28">
        <v>10287.46569989727</v>
      </c>
      <c r="J25" s="29">
        <v>9.361593786906515E7</v>
      </c>
      <c r="K25" s="29">
        <v>10287.46569989727</v>
      </c>
      <c r="L25" s="30">
        <v>11183.599999999999</v>
      </c>
      <c r="M25" s="29">
        <v>1.1505090140137109E8</v>
      </c>
      <c r="N25" s="31" t="s">
        <v>75</v>
      </c>
      <c r="O25" s="32"/>
      <c r="P25" s="33" t="str">
        <f t="array" ref="P25">IFERROR(
HYPERLINK(
"https://drive.google.com/file/d/"&amp;
XLOOKUP(O25,'Hoa-Don'!A:A,'Hoa-Don'!D:D)
&amp;"/view",
"🔎"
),
""
)</f>
        <v/>
      </c>
    </row>
    <row r="26" ht="22.5" customHeight="1">
      <c r="A26" s="21">
        <v>25.0</v>
      </c>
      <c r="B26" s="22">
        <v>42074.0</v>
      </c>
      <c r="C26" s="23">
        <v>1207.0</v>
      </c>
      <c r="D26" s="24" t="s">
        <v>71</v>
      </c>
      <c r="E26" s="25" t="s">
        <v>11</v>
      </c>
      <c r="F26" s="26"/>
      <c r="G26" s="27" t="s">
        <v>38</v>
      </c>
      <c r="H26" s="28">
        <v>14550.0</v>
      </c>
      <c r="I26" s="28">
        <v>11636.4</v>
      </c>
      <c r="J26" s="29">
        <v>1.6930962E8</v>
      </c>
      <c r="K26" s="29">
        <v>12061.983050847457</v>
      </c>
      <c r="L26" s="30">
        <v>21830.0</v>
      </c>
      <c r="M26" s="29">
        <v>2.6331309E8</v>
      </c>
      <c r="N26" s="31" t="s">
        <v>76</v>
      </c>
      <c r="O26" s="32"/>
      <c r="P26" s="33" t="str">
        <f t="array" ref="P26">IFERROR(
HYPERLINK(
"https://drive.google.com/file/d/"&amp;
XLOOKUP(O26,'Hoa-Don'!A:A,'Hoa-Don'!D:D)
&amp;"/view",
"🔎"
),
""
)</f>
        <v/>
      </c>
    </row>
    <row r="27" ht="22.5" customHeight="1">
      <c r="A27" s="21">
        <v>26.0</v>
      </c>
      <c r="B27" s="22">
        <v>42074.0</v>
      </c>
      <c r="C27" s="23">
        <v>1207.0</v>
      </c>
      <c r="D27" s="24" t="s">
        <v>71</v>
      </c>
      <c r="E27" s="25" t="s">
        <v>11</v>
      </c>
      <c r="F27" s="26"/>
      <c r="G27" s="27" t="s">
        <v>38</v>
      </c>
      <c r="H27" s="28">
        <v>303.2</v>
      </c>
      <c r="I27" s="28">
        <v>11272.7</v>
      </c>
      <c r="J27" s="29">
        <v>3417882.64</v>
      </c>
      <c r="K27" s="29">
        <v>12051.170758859993</v>
      </c>
      <c r="L27" s="30">
        <v>22133.2</v>
      </c>
      <c r="M27" s="29">
        <v>2.6673097264E8</v>
      </c>
      <c r="N27" s="31" t="s">
        <v>77</v>
      </c>
      <c r="O27" s="32"/>
      <c r="P27" s="33" t="str">
        <f t="array" ref="P27">IFERROR(
HYPERLINK(
"https://drive.google.com/file/d/"&amp;
XLOOKUP(O27,'Hoa-Don'!A:A,'Hoa-Don'!D:D)
&amp;"/view",
"🔎"
),
""
)</f>
        <v/>
      </c>
    </row>
    <row r="28" ht="22.5" customHeight="1">
      <c r="A28" s="21">
        <v>27.0</v>
      </c>
      <c r="B28" s="22">
        <v>42084.0</v>
      </c>
      <c r="C28" s="23">
        <v>1275.0</v>
      </c>
      <c r="D28" s="24" t="s">
        <v>71</v>
      </c>
      <c r="E28" s="25" t="s">
        <v>11</v>
      </c>
      <c r="F28" s="26"/>
      <c r="G28" s="27" t="s">
        <v>38</v>
      </c>
      <c r="H28" s="28">
        <v>1500.0</v>
      </c>
      <c r="I28" s="28">
        <v>11818.18</v>
      </c>
      <c r="J28" s="29">
        <v>1.772727E7</v>
      </c>
      <c r="K28" s="29">
        <v>12036.382827547686</v>
      </c>
      <c r="L28" s="30">
        <v>23633.2</v>
      </c>
      <c r="M28" s="29">
        <v>2.8445824264E8</v>
      </c>
      <c r="N28" s="31" t="s">
        <v>78</v>
      </c>
      <c r="O28" s="32"/>
      <c r="P28" s="33" t="str">
        <f t="array" ref="P28">IFERROR(
HYPERLINK(
"https://drive.google.com/file/d/"&amp;
XLOOKUP(O28,'Hoa-Don'!A:A,'Hoa-Don'!D:D)
&amp;"/view",
"🔎"
),
""
)</f>
        <v/>
      </c>
    </row>
    <row r="29" ht="22.5" customHeight="1">
      <c r="A29" s="21">
        <v>28.0</v>
      </c>
      <c r="B29" s="22">
        <v>42086.0</v>
      </c>
      <c r="C29" s="23">
        <v>1280.0</v>
      </c>
      <c r="D29" s="24" t="s">
        <v>71</v>
      </c>
      <c r="E29" s="25" t="s">
        <v>11</v>
      </c>
      <c r="F29" s="26"/>
      <c r="G29" s="27" t="s">
        <v>38</v>
      </c>
      <c r="H29" s="28">
        <v>1600.0</v>
      </c>
      <c r="I29" s="28">
        <v>11272.73</v>
      </c>
      <c r="J29" s="29">
        <v>1.8036368E7</v>
      </c>
      <c r="K29" s="29">
        <v>11987.960727929869</v>
      </c>
      <c r="L29" s="30">
        <v>25233.2</v>
      </c>
      <c r="M29" s="29">
        <v>3.0249461064E8</v>
      </c>
      <c r="N29" s="31" t="s">
        <v>79</v>
      </c>
      <c r="O29" s="32"/>
      <c r="P29" s="33" t="str">
        <f t="array" ref="P29">IFERROR(
HYPERLINK(
"https://drive.google.com/file/d/"&amp;
XLOOKUP(O29,'Hoa-Don'!A:A,'Hoa-Don'!D:D)
&amp;"/view",
"🔎"
),
""
)</f>
        <v/>
      </c>
    </row>
    <row r="30" ht="22.5" customHeight="1">
      <c r="A30" s="21">
        <v>29.0</v>
      </c>
      <c r="B30" s="22">
        <v>42087.0</v>
      </c>
      <c r="C30" s="23">
        <v>1289.0</v>
      </c>
      <c r="D30" s="24" t="s">
        <v>71</v>
      </c>
      <c r="E30" s="25" t="s">
        <v>11</v>
      </c>
      <c r="F30" s="26"/>
      <c r="G30" s="27" t="s">
        <v>38</v>
      </c>
      <c r="H30" s="28">
        <v>1610.0</v>
      </c>
      <c r="I30" s="28">
        <v>11272.73</v>
      </c>
      <c r="J30" s="29">
        <v>1.81490953E7</v>
      </c>
      <c r="K30" s="29">
        <v>11945.062657954342</v>
      </c>
      <c r="L30" s="30">
        <v>26843.2</v>
      </c>
      <c r="M30" s="29">
        <v>3.2064370594E8</v>
      </c>
      <c r="N30" s="31" t="s">
        <v>80</v>
      </c>
      <c r="O30" s="32"/>
      <c r="P30" s="33" t="str">
        <f t="array" ref="P30">IFERROR(
HYPERLINK(
"https://drive.google.com/file/d/"&amp;
XLOOKUP(O30,'Hoa-Don'!A:A,'Hoa-Don'!D:D)
&amp;"/view",
"🔎"
),
""
)</f>
        <v/>
      </c>
    </row>
    <row r="31" ht="22.5" customHeight="1">
      <c r="A31" s="21">
        <v>30.0</v>
      </c>
      <c r="B31" s="22">
        <v>42097.0</v>
      </c>
      <c r="C31" s="23">
        <v>1876.0</v>
      </c>
      <c r="D31" s="24" t="s">
        <v>81</v>
      </c>
      <c r="E31" s="25" t="s">
        <v>11</v>
      </c>
      <c r="F31" s="26"/>
      <c r="G31" s="27" t="s">
        <v>38</v>
      </c>
      <c r="H31" s="28">
        <v>767.0</v>
      </c>
      <c r="I31" s="28">
        <v>12545.5</v>
      </c>
      <c r="J31" s="29">
        <v>9622398.5</v>
      </c>
      <c r="K31" s="29">
        <v>11961.742560358129</v>
      </c>
      <c r="L31" s="30">
        <v>27610.2</v>
      </c>
      <c r="M31" s="29">
        <v>3.3026610444E8</v>
      </c>
      <c r="N31" s="31" t="s">
        <v>82</v>
      </c>
      <c r="O31" s="32"/>
      <c r="P31" s="33" t="str">
        <f t="array" ref="P31">IFERROR(
HYPERLINK(
"https://drive.google.com/file/d/"&amp;
XLOOKUP(O31,'Hoa-Don'!A:A,'Hoa-Don'!D:D)
&amp;"/view",
"🔎"
),
""
)</f>
        <v/>
      </c>
    </row>
    <row r="32" ht="22.5" customHeight="1">
      <c r="A32" s="21">
        <v>31.0</v>
      </c>
      <c r="B32" s="22">
        <v>42099.0</v>
      </c>
      <c r="C32" s="23">
        <v>21.0</v>
      </c>
      <c r="D32" s="24" t="s">
        <v>61</v>
      </c>
      <c r="E32" s="35" t="s">
        <v>18</v>
      </c>
      <c r="F32" s="26"/>
      <c r="G32" s="36" t="s">
        <v>42</v>
      </c>
      <c r="H32" s="28">
        <v>303.0</v>
      </c>
      <c r="I32" s="28">
        <v>10287.46569989727</v>
      </c>
      <c r="J32" s="29">
        <v>3117102.1070688725</v>
      </c>
      <c r="K32" s="29">
        <v>10287.46569989727</v>
      </c>
      <c r="L32" s="30">
        <v>10880.599999999999</v>
      </c>
      <c r="M32" s="29">
        <v>1.1193379929430221E8</v>
      </c>
      <c r="N32" s="31" t="s">
        <v>83</v>
      </c>
      <c r="O32" s="32"/>
      <c r="P32" s="33" t="str">
        <f t="array" ref="P32">IFERROR(
HYPERLINK(
"https://drive.google.com/file/d/"&amp;
XLOOKUP(O32,'Hoa-Don'!A:A,'Hoa-Don'!D:D)
&amp;"/view",
"🔎"
),
""
)</f>
        <v/>
      </c>
    </row>
    <row r="33" ht="22.5" customHeight="1">
      <c r="A33" s="21">
        <v>32.0</v>
      </c>
      <c r="B33" s="22">
        <v>42100.0</v>
      </c>
      <c r="C33" s="23">
        <v>12.0</v>
      </c>
      <c r="D33" s="24" t="s">
        <v>84</v>
      </c>
      <c r="E33" s="35" t="s">
        <v>18</v>
      </c>
      <c r="F33" s="26"/>
      <c r="G33" s="27" t="s">
        <v>38</v>
      </c>
      <c r="H33" s="28">
        <v>14919.0</v>
      </c>
      <c r="I33" s="28">
        <v>9597.28</v>
      </c>
      <c r="J33" s="29">
        <v>1.4318182032000002E8</v>
      </c>
      <c r="K33" s="29">
        <v>9888.355618470916</v>
      </c>
      <c r="L33" s="30">
        <v>25799.6</v>
      </c>
      <c r="M33" s="29">
        <v>2.5511561961430222E8</v>
      </c>
      <c r="N33" s="31" t="s">
        <v>85</v>
      </c>
      <c r="O33" s="32"/>
      <c r="P33" s="33" t="str">
        <f t="array" ref="P33">IFERROR(
HYPERLINK(
"https://drive.google.com/file/d/"&amp;
XLOOKUP(O33,'Hoa-Don'!A:A,'Hoa-Don'!D:D)
&amp;"/view",
"🔎"
),
""
)</f>
        <v/>
      </c>
    </row>
    <row r="34" ht="22.5" customHeight="1">
      <c r="A34" s="21">
        <v>33.0</v>
      </c>
      <c r="B34" s="22">
        <v>42100.0</v>
      </c>
      <c r="C34" s="23">
        <v>553.0</v>
      </c>
      <c r="D34" s="24" t="s">
        <v>86</v>
      </c>
      <c r="E34" s="25" t="s">
        <v>11</v>
      </c>
      <c r="F34" s="26"/>
      <c r="G34" s="27" t="s">
        <v>38</v>
      </c>
      <c r="H34" s="28">
        <v>6673.0</v>
      </c>
      <c r="I34" s="28">
        <v>11169.47</v>
      </c>
      <c r="J34" s="29">
        <v>7.453387331E7</v>
      </c>
      <c r="K34" s="29">
        <v>11807.531903381248</v>
      </c>
      <c r="L34" s="30">
        <v>34283.2</v>
      </c>
      <c r="M34" s="29">
        <v>4.0479997775E8</v>
      </c>
      <c r="N34" s="31" t="s">
        <v>87</v>
      </c>
      <c r="O34" s="32"/>
      <c r="P34" s="33" t="str">
        <f t="array" ref="P34">IFERROR(
HYPERLINK(
"https://drive.google.com/file/d/"&amp;
XLOOKUP(O34,'Hoa-Don'!A:A,'Hoa-Don'!D:D)
&amp;"/view",
"🔎"
),
""
)</f>
        <v/>
      </c>
    </row>
    <row r="35" ht="22.5" customHeight="1">
      <c r="A35" s="21">
        <v>34.0</v>
      </c>
      <c r="B35" s="22">
        <v>42101.0</v>
      </c>
      <c r="C35" s="23">
        <v>14.0</v>
      </c>
      <c r="D35" s="24" t="s">
        <v>84</v>
      </c>
      <c r="E35" s="35" t="s">
        <v>18</v>
      </c>
      <c r="F35" s="26"/>
      <c r="G35" s="27" t="s">
        <v>38</v>
      </c>
      <c r="H35" s="28">
        <v>116.0</v>
      </c>
      <c r="I35" s="28">
        <v>11105.02</v>
      </c>
      <c r="J35" s="29">
        <v>1288182.32</v>
      </c>
      <c r="K35" s="29">
        <v>9893.801491545719</v>
      </c>
      <c r="L35" s="30">
        <v>25915.6</v>
      </c>
      <c r="M35" s="29">
        <v>2.564038019343022E8</v>
      </c>
      <c r="N35" s="31" t="s">
        <v>88</v>
      </c>
      <c r="O35" s="32"/>
      <c r="P35" s="33" t="str">
        <f t="array" ref="P35">IFERROR(
HYPERLINK(
"https://drive.google.com/file/d/"&amp;
XLOOKUP(O35,'Hoa-Don'!A:A,'Hoa-Don'!D:D)
&amp;"/view",
"🔎"
),
""
)</f>
        <v/>
      </c>
    </row>
    <row r="36" ht="22.5" customHeight="1">
      <c r="A36" s="21">
        <v>35.0</v>
      </c>
      <c r="B36" s="22">
        <v>42103.0</v>
      </c>
      <c r="C36" s="23">
        <v>579.0</v>
      </c>
      <c r="D36" s="24" t="s">
        <v>86</v>
      </c>
      <c r="E36" s="25" t="s">
        <v>11</v>
      </c>
      <c r="F36" s="26"/>
      <c r="G36" s="27" t="s">
        <v>38</v>
      </c>
      <c r="H36" s="28">
        <v>6706.5</v>
      </c>
      <c r="I36" s="28">
        <v>11153.49</v>
      </c>
      <c r="J36" s="29">
        <v>7.4800880685E7</v>
      </c>
      <c r="K36" s="29">
        <v>11700.521312305287</v>
      </c>
      <c r="L36" s="30">
        <v>40989.7</v>
      </c>
      <c r="M36" s="29">
        <v>4.79600858435E8</v>
      </c>
      <c r="N36" s="31" t="s">
        <v>89</v>
      </c>
      <c r="O36" s="32"/>
      <c r="P36" s="33" t="str">
        <f t="array" ref="P36">IFERROR(
HYPERLINK(
"https://drive.google.com/file/d/"&amp;
XLOOKUP(O36,'Hoa-Don'!A:A,'Hoa-Don'!D:D)
&amp;"/view",
"🔎"
),
""
)</f>
        <v/>
      </c>
    </row>
    <row r="37" ht="22.5" customHeight="1">
      <c r="A37" s="21">
        <v>36.0</v>
      </c>
      <c r="B37" s="22">
        <v>42111.0</v>
      </c>
      <c r="C37" s="23">
        <v>34.0</v>
      </c>
      <c r="D37" s="24" t="s">
        <v>84</v>
      </c>
      <c r="E37" s="35" t="s">
        <v>18</v>
      </c>
      <c r="F37" s="26"/>
      <c r="G37" s="27" t="s">
        <v>38</v>
      </c>
      <c r="H37" s="28">
        <v>6415.0</v>
      </c>
      <c r="I37" s="28">
        <v>9363.63</v>
      </c>
      <c r="J37" s="29">
        <v>6.0067686449999996E7</v>
      </c>
      <c r="K37" s="29">
        <v>9788.60548162738</v>
      </c>
      <c r="L37" s="30">
        <v>32330.6</v>
      </c>
      <c r="M37" s="29">
        <v>3.164714883843022E8</v>
      </c>
      <c r="N37" s="31" t="s">
        <v>90</v>
      </c>
      <c r="O37" s="32"/>
      <c r="P37" s="33" t="str">
        <f t="array" ref="P37">IFERROR(
HYPERLINK(
"https://drive.google.com/file/d/"&amp;
XLOOKUP(O37,'Hoa-Don'!A:A,'Hoa-Don'!D:D)
&amp;"/view",
"🔎"
),
""
)</f>
        <v/>
      </c>
    </row>
    <row r="38" ht="22.5" customHeight="1">
      <c r="A38" s="21">
        <v>37.0</v>
      </c>
      <c r="B38" s="22">
        <v>42128.0</v>
      </c>
      <c r="C38" s="23">
        <v>750.0</v>
      </c>
      <c r="D38" s="24" t="s">
        <v>86</v>
      </c>
      <c r="E38" s="25" t="s">
        <v>11</v>
      </c>
      <c r="F38" s="26"/>
      <c r="G38" s="27" t="s">
        <v>38</v>
      </c>
      <c r="H38" s="28">
        <v>1600.0</v>
      </c>
      <c r="I38" s="28">
        <v>11335.78</v>
      </c>
      <c r="J38" s="29">
        <v>1.8137248E7</v>
      </c>
      <c r="K38" s="29">
        <v>11686.8187950373</v>
      </c>
      <c r="L38" s="30">
        <v>42589.7</v>
      </c>
      <c r="M38" s="29">
        <v>4.97738106435E8</v>
      </c>
      <c r="N38" s="31" t="s">
        <v>91</v>
      </c>
      <c r="O38" s="32"/>
      <c r="P38" s="33" t="str">
        <f t="array" ref="P38">IFERROR(
HYPERLINK(
"https://drive.google.com/file/d/"&amp;
XLOOKUP(O38,'Hoa-Don'!A:A,'Hoa-Don'!D:D)
&amp;"/view",
"🔎"
),
""
)</f>
        <v/>
      </c>
    </row>
    <row r="39" ht="22.5" customHeight="1">
      <c r="A39" s="21">
        <v>38.0</v>
      </c>
      <c r="B39" s="22">
        <v>42129.0</v>
      </c>
      <c r="C39" s="23">
        <v>770.0</v>
      </c>
      <c r="D39" s="24" t="s">
        <v>86</v>
      </c>
      <c r="E39" s="25" t="s">
        <v>11</v>
      </c>
      <c r="F39" s="26"/>
      <c r="G39" s="27" t="s">
        <v>38</v>
      </c>
      <c r="H39" s="28">
        <v>1580.0</v>
      </c>
      <c r="I39" s="28">
        <v>10827.27</v>
      </c>
      <c r="J39" s="29">
        <v>1.71070866E7</v>
      </c>
      <c r="K39" s="29">
        <v>11656.071764920298</v>
      </c>
      <c r="L39" s="30">
        <v>44169.7</v>
      </c>
      <c r="M39" s="29">
        <v>5.14845193035E8</v>
      </c>
      <c r="N39" s="31" t="s">
        <v>92</v>
      </c>
      <c r="O39" s="32"/>
      <c r="P39" s="33" t="str">
        <f t="array" ref="P39">IFERROR(
HYPERLINK(
"https://drive.google.com/file/d/"&amp;
XLOOKUP(O39,'Hoa-Don'!A:A,'Hoa-Don'!D:D)
&amp;"/view",
"🔎"
),
""
)</f>
        <v/>
      </c>
    </row>
    <row r="40" ht="22.5" customHeight="1">
      <c r="A40" s="21">
        <v>39.0</v>
      </c>
      <c r="B40" s="22">
        <v>42130.0</v>
      </c>
      <c r="C40" s="23">
        <v>23.0</v>
      </c>
      <c r="D40" s="24" t="s">
        <v>93</v>
      </c>
      <c r="E40" s="25" t="s">
        <v>11</v>
      </c>
      <c r="F40" s="26"/>
      <c r="G40" s="36" t="s">
        <v>42</v>
      </c>
      <c r="H40" s="28">
        <v>2990.0</v>
      </c>
      <c r="I40" s="28">
        <v>11656.071764920298</v>
      </c>
      <c r="J40" s="29">
        <v>3.485165457711169E7</v>
      </c>
      <c r="K40" s="29">
        <v>11656.071764920298</v>
      </c>
      <c r="L40" s="30">
        <v>41179.7</v>
      </c>
      <c r="M40" s="29">
        <v>4.7999353845788836E8</v>
      </c>
      <c r="N40" s="31" t="s">
        <v>94</v>
      </c>
      <c r="O40" s="32"/>
      <c r="P40" s="33" t="str">
        <f t="array" ref="P40">IFERROR(
HYPERLINK(
"https://drive.google.com/file/d/"&amp;
XLOOKUP(O40,'Hoa-Don'!A:A,'Hoa-Don'!D:D)
&amp;"/view",
"🔎"
),
""
)</f>
        <v/>
      </c>
    </row>
    <row r="41" ht="22.5" customHeight="1">
      <c r="A41" s="21">
        <v>40.0</v>
      </c>
      <c r="B41" s="22">
        <v>42130.0</v>
      </c>
      <c r="C41" s="23">
        <v>23.0</v>
      </c>
      <c r="D41" s="24" t="s">
        <v>93</v>
      </c>
      <c r="E41" s="25" t="s">
        <v>11</v>
      </c>
      <c r="F41" s="26"/>
      <c r="G41" s="36" t="s">
        <v>42</v>
      </c>
      <c r="H41" s="28">
        <v>760.0</v>
      </c>
      <c r="I41" s="28">
        <v>11656.071764920298</v>
      </c>
      <c r="J41" s="29">
        <v>8858614.541339427</v>
      </c>
      <c r="K41" s="29">
        <v>11656.071764920298</v>
      </c>
      <c r="L41" s="30">
        <v>40419.7</v>
      </c>
      <c r="M41" s="29">
        <v>4.711349239165489E8</v>
      </c>
      <c r="N41" s="31" t="s">
        <v>95</v>
      </c>
      <c r="O41" s="32"/>
      <c r="P41" s="33" t="str">
        <f t="array" ref="P41">IFERROR(
HYPERLINK(
"https://drive.google.com/file/d/"&amp;
XLOOKUP(O41,'Hoa-Don'!A:A,'Hoa-Don'!D:D)
&amp;"/view",
"🔎"
),
""
)</f>
        <v/>
      </c>
    </row>
    <row r="42" ht="22.5" customHeight="1">
      <c r="A42" s="21">
        <v>41.0</v>
      </c>
      <c r="B42" s="22">
        <v>42130.0</v>
      </c>
      <c r="C42" s="23">
        <v>23.0</v>
      </c>
      <c r="D42" s="24" t="s">
        <v>93</v>
      </c>
      <c r="E42" s="35" t="s">
        <v>18</v>
      </c>
      <c r="F42" s="26"/>
      <c r="G42" s="36" t="s">
        <v>42</v>
      </c>
      <c r="H42" s="28">
        <v>16661.0</v>
      </c>
      <c r="I42" s="28">
        <v>9788.60548162738</v>
      </c>
      <c r="J42" s="29">
        <v>1.630879559293938E8</v>
      </c>
      <c r="K42" s="29">
        <v>9788.60548162738</v>
      </c>
      <c r="L42" s="30">
        <v>15669.599999999999</v>
      </c>
      <c r="M42" s="29">
        <v>1.533835324549084E8</v>
      </c>
      <c r="N42" s="31" t="s">
        <v>96</v>
      </c>
      <c r="O42" s="32"/>
      <c r="P42" s="33" t="str">
        <f t="array" ref="P42">IFERROR(
HYPERLINK(
"https://drive.google.com/file/d/"&amp;
XLOOKUP(O42,'Hoa-Don'!A:A,'Hoa-Don'!D:D)
&amp;"/view",
"🔎"
),
""
)</f>
        <v/>
      </c>
    </row>
    <row r="43" ht="22.5" customHeight="1">
      <c r="A43" s="21">
        <v>42.0</v>
      </c>
      <c r="B43" s="22">
        <v>42133.0</v>
      </c>
      <c r="C43" s="23">
        <v>152.0</v>
      </c>
      <c r="D43" s="24" t="s">
        <v>69</v>
      </c>
      <c r="E43" s="35" t="s">
        <v>18</v>
      </c>
      <c r="F43" s="26"/>
      <c r="G43" s="27" t="s">
        <v>38</v>
      </c>
      <c r="H43" s="28">
        <v>26120.0</v>
      </c>
      <c r="I43" s="28">
        <v>9454.55</v>
      </c>
      <c r="J43" s="29">
        <v>2.4695284599999997E8</v>
      </c>
      <c r="K43" s="29">
        <v>9579.808814990054</v>
      </c>
      <c r="L43" s="30">
        <v>41789.6</v>
      </c>
      <c r="M43" s="29">
        <v>4.003363784549084E8</v>
      </c>
      <c r="N43" s="31" t="s">
        <v>97</v>
      </c>
      <c r="O43" s="32"/>
      <c r="P43" s="33" t="str">
        <f t="array" ref="P43">IFERROR(
HYPERLINK(
"https://drive.google.com/file/d/"&amp;
XLOOKUP(O43,'Hoa-Don'!A:A,'Hoa-Don'!D:D)
&amp;"/view",
"🔎"
),
""
)</f>
        <v/>
      </c>
    </row>
    <row r="44" ht="22.5" customHeight="1">
      <c r="A44" s="21">
        <v>43.0</v>
      </c>
      <c r="B44" s="22">
        <v>42136.0</v>
      </c>
      <c r="C44" s="23">
        <v>836.0</v>
      </c>
      <c r="D44" s="24" t="s">
        <v>86</v>
      </c>
      <c r="E44" s="25" t="s">
        <v>11</v>
      </c>
      <c r="F44" s="26"/>
      <c r="G44" s="27" t="s">
        <v>38</v>
      </c>
      <c r="H44" s="28">
        <v>1250.0</v>
      </c>
      <c r="I44" s="28">
        <v>11335.78</v>
      </c>
      <c r="J44" s="29">
        <v>1.4169725E7</v>
      </c>
      <c r="K44" s="29">
        <v>11646.463711438983</v>
      </c>
      <c r="L44" s="30">
        <v>41669.7</v>
      </c>
      <c r="M44" s="29">
        <v>4.853046489165489E8</v>
      </c>
      <c r="N44" s="31" t="s">
        <v>98</v>
      </c>
      <c r="O44" s="32"/>
      <c r="P44" s="33" t="str">
        <f t="array" ref="P44">IFERROR(
HYPERLINK(
"https://drive.google.com/file/d/"&amp;
XLOOKUP(O44,'Hoa-Don'!A:A,'Hoa-Don'!D:D)
&amp;"/view",
"🔎"
),
""
)</f>
        <v/>
      </c>
    </row>
    <row r="45" ht="22.5" customHeight="1">
      <c r="A45" s="21">
        <v>44.0</v>
      </c>
      <c r="B45" s="22">
        <v>42137.0</v>
      </c>
      <c r="C45" s="23">
        <v>839.0</v>
      </c>
      <c r="D45" s="24" t="s">
        <v>86</v>
      </c>
      <c r="E45" s="25" t="s">
        <v>11</v>
      </c>
      <c r="F45" s="26"/>
      <c r="G45" s="27" t="s">
        <v>38</v>
      </c>
      <c r="H45" s="28">
        <v>847.0</v>
      </c>
      <c r="I45" s="28">
        <v>11335.78</v>
      </c>
      <c r="J45" s="29">
        <v>9601405.66</v>
      </c>
      <c r="K45" s="29">
        <v>11640.274399860502</v>
      </c>
      <c r="L45" s="30">
        <v>42516.7</v>
      </c>
      <c r="M45" s="29">
        <v>4.9490605457654893E8</v>
      </c>
      <c r="N45" s="31" t="s">
        <v>99</v>
      </c>
      <c r="O45" s="32"/>
      <c r="P45" s="33" t="str">
        <f t="array" ref="P45">IFERROR(
HYPERLINK(
"https://drive.google.com/file/d/"&amp;
XLOOKUP(O45,'Hoa-Don'!A:A,'Hoa-Don'!D:D)
&amp;"/view",
"🔎"
),
""
)</f>
        <v/>
      </c>
    </row>
    <row r="46" ht="22.5" customHeight="1">
      <c r="A46" s="21">
        <v>45.0</v>
      </c>
      <c r="B46" s="22">
        <v>42138.0</v>
      </c>
      <c r="C46" s="23">
        <v>203.0</v>
      </c>
      <c r="D46" s="24" t="s">
        <v>69</v>
      </c>
      <c r="E46" s="37" t="s">
        <v>16</v>
      </c>
      <c r="F46" s="26"/>
      <c r="G46" s="27" t="s">
        <v>38</v>
      </c>
      <c r="H46" s="28">
        <v>5100.0</v>
      </c>
      <c r="I46" s="28">
        <v>13864.0</v>
      </c>
      <c r="J46" s="29">
        <v>7.07064E7</v>
      </c>
      <c r="K46" s="29">
        <v>13864.0</v>
      </c>
      <c r="L46" s="30">
        <v>5100.0</v>
      </c>
      <c r="M46" s="29">
        <v>7.07064E7</v>
      </c>
      <c r="N46" s="31" t="s">
        <v>100</v>
      </c>
      <c r="O46" s="32"/>
      <c r="P46" s="33" t="str">
        <f t="array" ref="P46">IFERROR(
HYPERLINK(
"https://drive.google.com/file/d/"&amp;
XLOOKUP(O46,'Hoa-Don'!A:A,'Hoa-Don'!D:D)
&amp;"/view",
"🔎"
),
""
)</f>
        <v/>
      </c>
    </row>
    <row r="47" ht="22.5" customHeight="1">
      <c r="A47" s="21">
        <v>46.0</v>
      </c>
      <c r="B47" s="22">
        <v>42138.0</v>
      </c>
      <c r="C47" s="23">
        <v>203.0</v>
      </c>
      <c r="D47" s="24" t="s">
        <v>69</v>
      </c>
      <c r="E47" s="35" t="s">
        <v>18</v>
      </c>
      <c r="F47" s="26"/>
      <c r="G47" s="27" t="s">
        <v>38</v>
      </c>
      <c r="H47" s="28">
        <v>4650.0</v>
      </c>
      <c r="I47" s="28">
        <v>9454.54</v>
      </c>
      <c r="J47" s="29">
        <v>4.396361100000001E7</v>
      </c>
      <c r="K47" s="29">
        <v>9567.265640851954</v>
      </c>
      <c r="L47" s="30">
        <v>46439.6</v>
      </c>
      <c r="M47" s="29">
        <v>4.442999894549084E8</v>
      </c>
      <c r="N47" s="31" t="s">
        <v>101</v>
      </c>
      <c r="O47" s="32"/>
      <c r="P47" s="33" t="str">
        <f t="array" ref="P47">IFERROR(
HYPERLINK(
"https://drive.google.com/file/d/"&amp;
XLOOKUP(O47,'Hoa-Don'!A:A,'Hoa-Don'!D:D)
&amp;"/view",
"🔎"
),
""
)</f>
        <v/>
      </c>
    </row>
    <row r="48" ht="22.5" customHeight="1">
      <c r="A48" s="21">
        <v>47.0</v>
      </c>
      <c r="B48" s="22">
        <v>42138.0</v>
      </c>
      <c r="C48" s="23">
        <v>850.0</v>
      </c>
      <c r="D48" s="24" t="s">
        <v>86</v>
      </c>
      <c r="E48" s="25" t="s">
        <v>11</v>
      </c>
      <c r="F48" s="26"/>
      <c r="G48" s="27" t="s">
        <v>38</v>
      </c>
      <c r="H48" s="28">
        <v>2880.0</v>
      </c>
      <c r="I48" s="28">
        <v>11272.73</v>
      </c>
      <c r="J48" s="29">
        <v>3.24654624E7</v>
      </c>
      <c r="K48" s="29">
        <v>11616.957113106217</v>
      </c>
      <c r="L48" s="30">
        <v>45396.7</v>
      </c>
      <c r="M48" s="29">
        <v>5.273715169765489E8</v>
      </c>
      <c r="N48" s="31" t="s">
        <v>102</v>
      </c>
      <c r="O48" s="32"/>
      <c r="P48" s="33" t="str">
        <f t="array" ref="P48">IFERROR(
HYPERLINK(
"https://drive.google.com/file/d/"&amp;
XLOOKUP(O48,'Hoa-Don'!A:A,'Hoa-Don'!D:D)
&amp;"/view",
"🔎"
),
""
)</f>
        <v/>
      </c>
    </row>
    <row r="49" ht="22.5" customHeight="1">
      <c r="A49" s="21">
        <v>48.0</v>
      </c>
      <c r="B49" s="22">
        <v>42147.0</v>
      </c>
      <c r="C49" s="23">
        <v>113.0</v>
      </c>
      <c r="D49" s="24" t="s">
        <v>84</v>
      </c>
      <c r="E49" s="35" t="s">
        <v>18</v>
      </c>
      <c r="F49" s="26"/>
      <c r="G49" s="27" t="s">
        <v>38</v>
      </c>
      <c r="H49" s="28">
        <v>2700.0</v>
      </c>
      <c r="I49" s="28">
        <v>9545.45</v>
      </c>
      <c r="J49" s="29">
        <v>2.5772715000000004E7</v>
      </c>
      <c r="K49" s="29">
        <v>9566.066969509488</v>
      </c>
      <c r="L49" s="30">
        <v>49139.6</v>
      </c>
      <c r="M49" s="29">
        <v>4.700727044549084E8</v>
      </c>
      <c r="N49" s="31" t="s">
        <v>103</v>
      </c>
      <c r="O49" s="32"/>
      <c r="P49" s="33" t="str">
        <f t="array" ref="P49">IFERROR(
HYPERLINK(
"https://drive.google.com/file/d/"&amp;
XLOOKUP(O49,'Hoa-Don'!A:A,'Hoa-Don'!D:D)
&amp;"/view",
"🔎"
),
""
)</f>
        <v/>
      </c>
    </row>
    <row r="50" ht="22.5" customHeight="1">
      <c r="A50" s="21">
        <v>49.0</v>
      </c>
      <c r="B50" s="22">
        <v>42152.0</v>
      </c>
      <c r="C50" s="23">
        <v>2495.0</v>
      </c>
      <c r="D50" s="24" t="s">
        <v>40</v>
      </c>
      <c r="E50" s="25" t="s">
        <v>11</v>
      </c>
      <c r="F50" s="26"/>
      <c r="G50" s="27" t="s">
        <v>38</v>
      </c>
      <c r="H50" s="28">
        <v>10250.0</v>
      </c>
      <c r="I50" s="28">
        <v>10909.09</v>
      </c>
      <c r="J50" s="29">
        <v>1.118181725E8</v>
      </c>
      <c r="K50" s="29">
        <v>11486.569544583039</v>
      </c>
      <c r="L50" s="30">
        <v>55646.7</v>
      </c>
      <c r="M50" s="29">
        <v>6.391896894765489E8</v>
      </c>
      <c r="N50" s="31" t="s">
        <v>104</v>
      </c>
      <c r="O50" s="32"/>
      <c r="P50" s="33" t="str">
        <f t="array" ref="P50">IFERROR(
HYPERLINK(
"https://drive.google.com/file/d/"&amp;
XLOOKUP(O50,'Hoa-Don'!A:A,'Hoa-Don'!D:D)
&amp;"/view",
"🔎"
),
""
)</f>
        <v/>
      </c>
    </row>
    <row r="51" ht="22.5" customHeight="1">
      <c r="A51" s="21">
        <v>50.0</v>
      </c>
      <c r="B51" s="22">
        <v>42160.0</v>
      </c>
      <c r="C51" s="23">
        <v>24.0</v>
      </c>
      <c r="D51" s="24" t="s">
        <v>105</v>
      </c>
      <c r="E51" s="35" t="s">
        <v>18</v>
      </c>
      <c r="F51" s="26"/>
      <c r="G51" s="36" t="s">
        <v>42</v>
      </c>
      <c r="H51" s="28">
        <v>870.0</v>
      </c>
      <c r="I51" s="28">
        <v>9566.066969509488</v>
      </c>
      <c r="J51" s="29">
        <v>8322478.263473254</v>
      </c>
      <c r="K51" s="29">
        <v>9566.066969509488</v>
      </c>
      <c r="L51" s="30">
        <v>48269.6</v>
      </c>
      <c r="M51" s="29">
        <v>4.6175022619143516E8</v>
      </c>
      <c r="N51" s="31" t="s">
        <v>106</v>
      </c>
      <c r="O51" s="32"/>
      <c r="P51" s="33" t="str">
        <f t="array" ref="P51">IFERROR(
HYPERLINK(
"https://drive.google.com/file/d/"&amp;
XLOOKUP(O51,'Hoa-Don'!A:A,'Hoa-Don'!D:D)
&amp;"/view",
"🔎"
),
""
)</f>
        <v/>
      </c>
    </row>
    <row r="52" ht="22.5" customHeight="1">
      <c r="A52" s="21">
        <v>51.0</v>
      </c>
      <c r="B52" s="22">
        <v>42165.0</v>
      </c>
      <c r="C52" s="23">
        <v>26.0</v>
      </c>
      <c r="D52" s="24" t="s">
        <v>93</v>
      </c>
      <c r="E52" s="35" t="s">
        <v>18</v>
      </c>
      <c r="F52" s="26"/>
      <c r="G52" s="36" t="s">
        <v>42</v>
      </c>
      <c r="H52" s="28">
        <v>13768.0</v>
      </c>
      <c r="I52" s="28">
        <v>9566.066969509488</v>
      </c>
      <c r="J52" s="29">
        <v>1.3170561003620662E8</v>
      </c>
      <c r="K52" s="29">
        <v>9566.066969509488</v>
      </c>
      <c r="L52" s="30">
        <v>34501.6</v>
      </c>
      <c r="M52" s="29">
        <v>3.300446161552285E8</v>
      </c>
      <c r="N52" s="31" t="s">
        <v>107</v>
      </c>
      <c r="O52" s="32"/>
      <c r="P52" s="33" t="str">
        <f t="array" ref="P52">IFERROR(
HYPERLINK(
"https://drive.google.com/file/d/"&amp;
XLOOKUP(O52,'Hoa-Don'!A:A,'Hoa-Don'!D:D)
&amp;"/view",
"🔎"
),
""
)</f>
        <v/>
      </c>
    </row>
    <row r="53" ht="22.5" customHeight="1">
      <c r="A53" s="21">
        <v>52.0</v>
      </c>
      <c r="B53" s="22">
        <v>42169.0</v>
      </c>
      <c r="C53" s="23">
        <v>27.0</v>
      </c>
      <c r="D53" s="24" t="s">
        <v>63</v>
      </c>
      <c r="E53" s="35" t="s">
        <v>18</v>
      </c>
      <c r="F53" s="26"/>
      <c r="G53" s="36" t="s">
        <v>42</v>
      </c>
      <c r="H53" s="28">
        <v>266.0</v>
      </c>
      <c r="I53" s="28">
        <v>9566.066969509488</v>
      </c>
      <c r="J53" s="29">
        <v>2544573.8138895235</v>
      </c>
      <c r="K53" s="29">
        <v>9566.066969509488</v>
      </c>
      <c r="L53" s="30">
        <v>34235.6</v>
      </c>
      <c r="M53" s="29">
        <v>3.27500042341339E8</v>
      </c>
      <c r="N53" s="31" t="s">
        <v>108</v>
      </c>
      <c r="O53" s="32"/>
      <c r="P53" s="33" t="str">
        <f t="array" ref="P53">IFERROR(
HYPERLINK(
"https://drive.google.com/file/d/"&amp;
XLOOKUP(O53,'Hoa-Don'!A:A,'Hoa-Don'!D:D)
&amp;"/view",
"🔎"
),
""
)</f>
        <v/>
      </c>
    </row>
    <row r="54" ht="22.5" customHeight="1">
      <c r="A54" s="21">
        <v>53.0</v>
      </c>
      <c r="B54" s="22">
        <v>42170.0</v>
      </c>
      <c r="C54" s="23">
        <v>28.0</v>
      </c>
      <c r="D54" s="24" t="s">
        <v>93</v>
      </c>
      <c r="E54" s="35" t="s">
        <v>18</v>
      </c>
      <c r="F54" s="26"/>
      <c r="G54" s="36" t="s">
        <v>42</v>
      </c>
      <c r="H54" s="28">
        <v>12318.5</v>
      </c>
      <c r="I54" s="28">
        <v>9566.066969509488</v>
      </c>
      <c r="J54" s="29">
        <v>1.1783959596390262E8</v>
      </c>
      <c r="K54" s="29">
        <v>9566.066969509488</v>
      </c>
      <c r="L54" s="30">
        <v>21917.1</v>
      </c>
      <c r="M54" s="29">
        <v>2.0966044637743637E8</v>
      </c>
      <c r="N54" s="31" t="s">
        <v>109</v>
      </c>
      <c r="O54" s="32"/>
      <c r="P54" s="33" t="str">
        <f t="array" ref="P54">IFERROR(
HYPERLINK(
"https://drive.google.com/file/d/"&amp;
XLOOKUP(O54,'Hoa-Don'!A:A,'Hoa-Don'!D:D)
&amp;"/view",
"🔎"
),
""
)</f>
        <v/>
      </c>
    </row>
    <row r="55" ht="22.5" customHeight="1">
      <c r="A55" s="21">
        <v>54.0</v>
      </c>
      <c r="B55" s="22">
        <v>42170.0</v>
      </c>
      <c r="C55" s="23">
        <v>29.0</v>
      </c>
      <c r="D55" s="24" t="s">
        <v>63</v>
      </c>
      <c r="E55" s="35" t="s">
        <v>18</v>
      </c>
      <c r="F55" s="26"/>
      <c r="G55" s="36" t="s">
        <v>42</v>
      </c>
      <c r="H55" s="28">
        <v>1100.0</v>
      </c>
      <c r="I55" s="28">
        <v>9566.066969509488</v>
      </c>
      <c r="J55" s="29">
        <v>1.0522673666460436E7</v>
      </c>
      <c r="K55" s="29">
        <v>9566.066969509488</v>
      </c>
      <c r="L55" s="30">
        <v>20817.1</v>
      </c>
      <c r="M55" s="29">
        <v>1.9913777271097594E8</v>
      </c>
      <c r="N55" s="31" t="s">
        <v>110</v>
      </c>
      <c r="O55" s="32"/>
      <c r="P55" s="33" t="str">
        <f t="array" ref="P55">IFERROR(
HYPERLINK(
"https://drive.google.com/file/d/"&amp;
XLOOKUP(O55,'Hoa-Don'!A:A,'Hoa-Don'!D:D)
&amp;"/view",
"🔎"
),
""
)</f>
        <v/>
      </c>
    </row>
    <row r="56" ht="22.5" customHeight="1">
      <c r="A56" s="21">
        <v>55.0</v>
      </c>
      <c r="B56" s="22">
        <v>42173.0</v>
      </c>
      <c r="C56" s="23">
        <v>31.0</v>
      </c>
      <c r="D56" s="24" t="s">
        <v>93</v>
      </c>
      <c r="E56" s="25" t="s">
        <v>11</v>
      </c>
      <c r="F56" s="26"/>
      <c r="G56" s="36" t="s">
        <v>42</v>
      </c>
      <c r="H56" s="28">
        <v>13468.0</v>
      </c>
      <c r="I56" s="28">
        <v>11486.569544583039</v>
      </c>
      <c r="J56" s="29">
        <v>1.5470111862644437E8</v>
      </c>
      <c r="K56" s="29">
        <v>11486.569544583039</v>
      </c>
      <c r="L56" s="30">
        <v>42178.7</v>
      </c>
      <c r="M56" s="29">
        <v>4.844885708501046E8</v>
      </c>
      <c r="N56" s="31" t="s">
        <v>111</v>
      </c>
      <c r="O56" s="32"/>
      <c r="P56" s="33" t="str">
        <f t="array" ref="P56">IFERROR(
HYPERLINK(
"https://drive.google.com/file/d/"&amp;
XLOOKUP(O56,'Hoa-Don'!A:A,'Hoa-Don'!D:D)
&amp;"/view",
"🔎"
),
""
)</f>
        <v/>
      </c>
    </row>
    <row r="57" ht="22.5" customHeight="1">
      <c r="A57" s="21">
        <v>56.0</v>
      </c>
      <c r="B57" s="22">
        <v>42173.0</v>
      </c>
      <c r="C57" s="23">
        <v>32.0</v>
      </c>
      <c r="D57" s="24" t="s">
        <v>63</v>
      </c>
      <c r="E57" s="25" t="s">
        <v>11</v>
      </c>
      <c r="F57" s="26"/>
      <c r="G57" s="36" t="s">
        <v>42</v>
      </c>
      <c r="H57" s="28">
        <v>391.0</v>
      </c>
      <c r="I57" s="28">
        <v>11486.569544583039</v>
      </c>
      <c r="J57" s="29">
        <v>4491248.691931969</v>
      </c>
      <c r="K57" s="29">
        <v>11486.569544583039</v>
      </c>
      <c r="L57" s="30">
        <v>41787.7</v>
      </c>
      <c r="M57" s="29">
        <v>4.799973221581726E8</v>
      </c>
      <c r="N57" s="31" t="s">
        <v>112</v>
      </c>
      <c r="O57" s="32"/>
      <c r="P57" s="33" t="str">
        <f t="array" ref="P57">IFERROR(
HYPERLINK(
"https://drive.google.com/file/d/"&amp;
XLOOKUP(O57,'Hoa-Don'!A:A,'Hoa-Don'!D:D)
&amp;"/view",
"🔎"
),
""
)</f>
        <v/>
      </c>
    </row>
    <row r="58" ht="22.5" customHeight="1">
      <c r="A58" s="21">
        <v>57.0</v>
      </c>
      <c r="B58" s="22">
        <v>42173.0</v>
      </c>
      <c r="C58" s="23">
        <v>32.0</v>
      </c>
      <c r="D58" s="24" t="s">
        <v>63</v>
      </c>
      <c r="E58" s="35" t="s">
        <v>18</v>
      </c>
      <c r="F58" s="26"/>
      <c r="G58" s="36" t="s">
        <v>42</v>
      </c>
      <c r="H58" s="28">
        <v>237.0</v>
      </c>
      <c r="I58" s="28">
        <v>9566.066969509488</v>
      </c>
      <c r="J58" s="29">
        <v>2267157.8717737487</v>
      </c>
      <c r="K58" s="29">
        <v>9566.066969509488</v>
      </c>
      <c r="L58" s="30">
        <v>20580.1</v>
      </c>
      <c r="M58" s="29">
        <v>1.968706148392022E8</v>
      </c>
      <c r="N58" s="31" t="s">
        <v>113</v>
      </c>
      <c r="O58" s="32"/>
      <c r="P58" s="33" t="str">
        <f t="array" ref="P58">IFERROR(
HYPERLINK(
"https://drive.google.com/file/d/"&amp;
XLOOKUP(O58,'Hoa-Don'!A:A,'Hoa-Don'!D:D)
&amp;"/view",
"🔎"
),
""
)</f>
        <v/>
      </c>
    </row>
    <row r="59" ht="22.5" customHeight="1">
      <c r="A59" s="21">
        <v>58.0</v>
      </c>
      <c r="B59" s="22">
        <v>42188.0</v>
      </c>
      <c r="C59" s="23">
        <v>236.0</v>
      </c>
      <c r="D59" s="24" t="s">
        <v>86</v>
      </c>
      <c r="E59" s="25" t="s">
        <v>11</v>
      </c>
      <c r="F59" s="26"/>
      <c r="G59" s="27" t="s">
        <v>38</v>
      </c>
      <c r="H59" s="28">
        <v>1730.0</v>
      </c>
      <c r="I59" s="28">
        <v>9727.27</v>
      </c>
      <c r="J59" s="29">
        <v>1.68281771E7</v>
      </c>
      <c r="K59" s="29">
        <v>11416.63045745002</v>
      </c>
      <c r="L59" s="30">
        <v>43517.7</v>
      </c>
      <c r="M59" s="29">
        <v>4.9682549925817263E8</v>
      </c>
      <c r="N59" s="31" t="s">
        <v>114</v>
      </c>
      <c r="O59" s="32"/>
      <c r="P59" s="33" t="str">
        <f t="array" ref="P59">IFERROR(
HYPERLINK(
"https://drive.google.com/file/d/"&amp;
XLOOKUP(O59,'Hoa-Don'!A:A,'Hoa-Don'!D:D)
&amp;"/view",
"🔎"
),
""
)</f>
        <v/>
      </c>
    </row>
    <row r="60" ht="22.5" customHeight="1">
      <c r="A60" s="21">
        <v>59.0</v>
      </c>
      <c r="B60" s="22">
        <v>42191.0</v>
      </c>
      <c r="C60" s="23">
        <v>33.0</v>
      </c>
      <c r="D60" s="24" t="s">
        <v>115</v>
      </c>
      <c r="E60" s="35" t="s">
        <v>18</v>
      </c>
      <c r="F60" s="26"/>
      <c r="G60" s="36" t="s">
        <v>42</v>
      </c>
      <c r="H60" s="28">
        <v>399.0</v>
      </c>
      <c r="I60" s="28">
        <v>9566.066969509488</v>
      </c>
      <c r="J60" s="29">
        <v>3816860.7208342855</v>
      </c>
      <c r="K60" s="29">
        <v>9566.066969509488</v>
      </c>
      <c r="L60" s="30">
        <v>20181.1</v>
      </c>
      <c r="M60" s="29">
        <v>1.930537541183679E8</v>
      </c>
      <c r="N60" s="31" t="s">
        <v>116</v>
      </c>
      <c r="O60" s="32"/>
      <c r="P60" s="33" t="str">
        <f t="array" ref="P60">IFERROR(
HYPERLINK(
"https://drive.google.com/file/d/"&amp;
XLOOKUP(O60,'Hoa-Don'!A:A,'Hoa-Don'!D:D)
&amp;"/view",
"🔎"
),
""
)</f>
        <v/>
      </c>
    </row>
    <row r="61" ht="22.5" customHeight="1">
      <c r="A61" s="21">
        <v>60.0</v>
      </c>
      <c r="B61" s="22">
        <v>42192.0</v>
      </c>
      <c r="C61" s="23">
        <v>34.0</v>
      </c>
      <c r="D61" s="24" t="s">
        <v>117</v>
      </c>
      <c r="E61" s="25" t="s">
        <v>11</v>
      </c>
      <c r="F61" s="26"/>
      <c r="G61" s="36" t="s">
        <v>42</v>
      </c>
      <c r="H61" s="28">
        <v>310.0</v>
      </c>
      <c r="I61" s="28">
        <v>11416.63045745002</v>
      </c>
      <c r="J61" s="29">
        <v>3539155.4418095057</v>
      </c>
      <c r="K61" s="29">
        <v>11416.63045745002</v>
      </c>
      <c r="L61" s="30">
        <v>43207.7</v>
      </c>
      <c r="M61" s="29">
        <v>4.9328634381636316E8</v>
      </c>
      <c r="N61" s="31" t="s">
        <v>118</v>
      </c>
      <c r="O61" s="32"/>
      <c r="P61" s="33" t="str">
        <f t="array" ref="P61">IFERROR(
HYPERLINK(
"https://drive.google.com/file/d/"&amp;
XLOOKUP(O61,'Hoa-Don'!A:A,'Hoa-Don'!D:D)
&amp;"/view",
"🔎"
),
""
)</f>
        <v/>
      </c>
    </row>
    <row r="62" ht="22.5" customHeight="1">
      <c r="A62" s="21">
        <v>61.0</v>
      </c>
      <c r="B62" s="22">
        <v>42193.0</v>
      </c>
      <c r="C62" s="23">
        <v>35.0</v>
      </c>
      <c r="D62" s="24" t="s">
        <v>63</v>
      </c>
      <c r="E62" s="35" t="s">
        <v>18</v>
      </c>
      <c r="F62" s="26"/>
      <c r="G62" s="36" t="s">
        <v>42</v>
      </c>
      <c r="H62" s="28">
        <v>368.5</v>
      </c>
      <c r="I62" s="28">
        <v>9566.066969509488</v>
      </c>
      <c r="J62" s="29">
        <v>3525095.6782642463</v>
      </c>
      <c r="K62" s="29">
        <v>9566.066969509488</v>
      </c>
      <c r="L62" s="30">
        <v>19812.6</v>
      </c>
      <c r="M62" s="29">
        <v>1.8952865844010365E8</v>
      </c>
      <c r="N62" s="31" t="s">
        <v>119</v>
      </c>
      <c r="O62" s="32"/>
      <c r="P62" s="33" t="str">
        <f t="array" ref="P62">IFERROR(
HYPERLINK(
"https://drive.google.com/file/d/"&amp;
XLOOKUP(O62,'Hoa-Don'!A:A,'Hoa-Don'!D:D)
&amp;"/view",
"🔎"
),
""
)</f>
        <v/>
      </c>
    </row>
    <row r="63" ht="22.5" customHeight="1">
      <c r="A63" s="21">
        <v>62.0</v>
      </c>
      <c r="B63" s="22">
        <v>42193.0</v>
      </c>
      <c r="C63" s="23">
        <v>36.0</v>
      </c>
      <c r="D63" s="24" t="s">
        <v>93</v>
      </c>
      <c r="E63" s="35" t="s">
        <v>18</v>
      </c>
      <c r="F63" s="26"/>
      <c r="G63" s="36" t="s">
        <v>42</v>
      </c>
      <c r="H63" s="28">
        <v>7253.5</v>
      </c>
      <c r="I63" s="28">
        <v>9566.066969509488</v>
      </c>
      <c r="J63" s="29">
        <v>6.938746676333706E7</v>
      </c>
      <c r="K63" s="29">
        <v>9566.066969509488</v>
      </c>
      <c r="L63" s="30">
        <v>12559.099999999999</v>
      </c>
      <c r="M63" s="29">
        <v>1.2014119167676659E8</v>
      </c>
      <c r="N63" s="31" t="s">
        <v>120</v>
      </c>
      <c r="O63" s="32"/>
      <c r="P63" s="33" t="str">
        <f t="array" ref="P63">IFERROR(
HYPERLINK(
"https://drive.google.com/file/d/"&amp;
XLOOKUP(O63,'Hoa-Don'!A:A,'Hoa-Don'!D:D)
&amp;"/view",
"🔎"
),
""
)</f>
        <v/>
      </c>
    </row>
    <row r="64" ht="22.5" customHeight="1">
      <c r="A64" s="21">
        <v>63.0</v>
      </c>
      <c r="B64" s="22">
        <v>42199.0</v>
      </c>
      <c r="C64" s="23">
        <v>318.0</v>
      </c>
      <c r="D64" s="24" t="s">
        <v>86</v>
      </c>
      <c r="E64" s="25" t="s">
        <v>11</v>
      </c>
      <c r="F64" s="26"/>
      <c r="G64" s="27" t="s">
        <v>38</v>
      </c>
      <c r="H64" s="28">
        <v>1868.0</v>
      </c>
      <c r="I64" s="28">
        <v>9727.27</v>
      </c>
      <c r="J64" s="29">
        <v>1.817054036E7</v>
      </c>
      <c r="K64" s="29">
        <v>11346.620999260427</v>
      </c>
      <c r="L64" s="30">
        <v>45075.7</v>
      </c>
      <c r="M64" s="29">
        <v>5.1145688417636317E8</v>
      </c>
      <c r="N64" s="31" t="s">
        <v>121</v>
      </c>
      <c r="O64" s="32"/>
      <c r="P64" s="33" t="str">
        <f t="array" ref="P64">IFERROR(
HYPERLINK(
"https://drive.google.com/file/d/"&amp;
XLOOKUP(O64,'Hoa-Don'!A:A,'Hoa-Don'!D:D)
&amp;"/view",
"🔎"
),
""
)</f>
        <v/>
      </c>
    </row>
    <row r="65" ht="22.5" customHeight="1">
      <c r="A65" s="21">
        <v>64.0</v>
      </c>
      <c r="B65" s="22">
        <v>42200.0</v>
      </c>
      <c r="C65" s="23">
        <v>319.0</v>
      </c>
      <c r="D65" s="24" t="s">
        <v>86</v>
      </c>
      <c r="E65" s="25" t="s">
        <v>11</v>
      </c>
      <c r="F65" s="26"/>
      <c r="G65" s="27" t="s">
        <v>38</v>
      </c>
      <c r="H65" s="28">
        <v>1862.0</v>
      </c>
      <c r="I65" s="28">
        <v>9727.27</v>
      </c>
      <c r="J65" s="29">
        <v>1.8112176740000002E7</v>
      </c>
      <c r="K65" s="29">
        <v>11282.381985405404</v>
      </c>
      <c r="L65" s="30">
        <v>46937.7</v>
      </c>
      <c r="M65" s="29">
        <v>5.295690609163632E8</v>
      </c>
      <c r="N65" s="31" t="s">
        <v>122</v>
      </c>
      <c r="O65" s="32"/>
      <c r="P65" s="33" t="str">
        <f t="array" ref="P65">IFERROR(
HYPERLINK(
"https://drive.google.com/file/d/"&amp;
XLOOKUP(O65,'Hoa-Don'!A:A,'Hoa-Don'!D:D)
&amp;"/view",
"🔎"
),
""
)</f>
        <v/>
      </c>
    </row>
    <row r="66" ht="22.5" customHeight="1">
      <c r="A66" s="21">
        <v>65.0</v>
      </c>
      <c r="B66" s="22">
        <v>42200.0</v>
      </c>
      <c r="C66" s="23">
        <v>37.0</v>
      </c>
      <c r="D66" s="24" t="s">
        <v>123</v>
      </c>
      <c r="E66" s="35" t="s">
        <v>18</v>
      </c>
      <c r="F66" s="26"/>
      <c r="G66" s="36" t="s">
        <v>42</v>
      </c>
      <c r="H66" s="28">
        <v>1618.0</v>
      </c>
      <c r="I66" s="28">
        <v>9566.066969509488</v>
      </c>
      <c r="J66" s="29">
        <v>1.547789635666635E7</v>
      </c>
      <c r="K66" s="29">
        <v>9566.066969509488</v>
      </c>
      <c r="L66" s="30">
        <v>10941.099999999999</v>
      </c>
      <c r="M66" s="29">
        <v>1.0466329532010023E8</v>
      </c>
      <c r="N66" s="31" t="s">
        <v>124</v>
      </c>
      <c r="O66" s="32"/>
      <c r="P66" s="33" t="str">
        <f t="array" ref="P66">IFERROR(
HYPERLINK(
"https://drive.google.com/file/d/"&amp;
XLOOKUP(O66,'Hoa-Don'!A:A,'Hoa-Don'!D:D)
&amp;"/view",
"🔎"
),
""
)</f>
        <v/>
      </c>
    </row>
    <row r="67" ht="22.5" customHeight="1">
      <c r="A67" s="21">
        <v>66.0</v>
      </c>
      <c r="B67" s="22">
        <v>42201.0</v>
      </c>
      <c r="C67" s="23">
        <v>326.0</v>
      </c>
      <c r="D67" s="24" t="s">
        <v>86</v>
      </c>
      <c r="E67" s="25" t="s">
        <v>11</v>
      </c>
      <c r="F67" s="26"/>
      <c r="G67" s="27" t="s">
        <v>38</v>
      </c>
      <c r="H67" s="28">
        <v>9900.0</v>
      </c>
      <c r="I67" s="28">
        <v>9181.82</v>
      </c>
      <c r="J67" s="29">
        <v>9.0900018E7</v>
      </c>
      <c r="K67" s="29">
        <v>10916.505750872453</v>
      </c>
      <c r="L67" s="30">
        <v>56837.7</v>
      </c>
      <c r="M67" s="29">
        <v>6.204690789163632E8</v>
      </c>
      <c r="N67" s="31" t="s">
        <v>125</v>
      </c>
      <c r="O67" s="32"/>
      <c r="P67" s="33" t="str">
        <f t="array" ref="P67">IFERROR(
HYPERLINK(
"https://drive.google.com/file/d/"&amp;
XLOOKUP(O67,'Hoa-Don'!A:A,'Hoa-Don'!D:D)
&amp;"/view",
"🔎"
),
""
)</f>
        <v/>
      </c>
    </row>
    <row r="68" ht="22.5" customHeight="1">
      <c r="A68" s="21">
        <v>67.0</v>
      </c>
      <c r="B68" s="22">
        <v>42203.0</v>
      </c>
      <c r="C68" s="23">
        <v>370.0</v>
      </c>
      <c r="D68" s="24" t="s">
        <v>40</v>
      </c>
      <c r="E68" s="25" t="s">
        <v>11</v>
      </c>
      <c r="F68" s="26"/>
      <c r="G68" s="27" t="s">
        <v>38</v>
      </c>
      <c r="H68" s="28">
        <v>1700.0</v>
      </c>
      <c r="I68" s="28">
        <v>9545.45</v>
      </c>
      <c r="J68" s="29">
        <v>1.6227265000000002E7</v>
      </c>
      <c r="K68" s="29">
        <v>10876.688764955974</v>
      </c>
      <c r="L68" s="30">
        <v>58537.7</v>
      </c>
      <c r="M68" s="29">
        <v>6.366963439163632E8</v>
      </c>
      <c r="N68" s="31" t="s">
        <v>126</v>
      </c>
      <c r="O68" s="32"/>
      <c r="P68" s="33" t="str">
        <f t="array" ref="P68">IFERROR(
HYPERLINK(
"https://drive.google.com/file/d/"&amp;
XLOOKUP(O68,'Hoa-Don'!A:A,'Hoa-Don'!D:D)
&amp;"/view",
"🔎"
),
""
)</f>
        <v/>
      </c>
    </row>
    <row r="69" ht="22.5" customHeight="1">
      <c r="A69" s="21">
        <v>68.0</v>
      </c>
      <c r="B69" s="22">
        <v>42205.0</v>
      </c>
      <c r="C69" s="23">
        <v>375.0</v>
      </c>
      <c r="D69" s="24" t="s">
        <v>40</v>
      </c>
      <c r="E69" s="25" t="s">
        <v>11</v>
      </c>
      <c r="F69" s="26"/>
      <c r="G69" s="27" t="s">
        <v>38</v>
      </c>
      <c r="H69" s="28">
        <v>1690.0</v>
      </c>
      <c r="I69" s="28">
        <v>9545.45</v>
      </c>
      <c r="J69" s="29">
        <v>1.6131810500000002E7</v>
      </c>
      <c r="K69" s="29">
        <v>10839.333967864675</v>
      </c>
      <c r="L69" s="30">
        <v>60227.7</v>
      </c>
      <c r="M69" s="29">
        <v>6.528281544163632E8</v>
      </c>
      <c r="N69" s="31" t="s">
        <v>127</v>
      </c>
      <c r="O69" s="32"/>
      <c r="P69" s="33" t="str">
        <f t="array" ref="P69">IFERROR(
HYPERLINK(
"https://drive.google.com/file/d/"&amp;
XLOOKUP(O69,'Hoa-Don'!A:A,'Hoa-Don'!D:D)
&amp;"/view",
"🔎"
),
""
)</f>
        <v/>
      </c>
    </row>
    <row r="70" ht="22.5" customHeight="1">
      <c r="A70" s="21">
        <v>69.0</v>
      </c>
      <c r="B70" s="22">
        <v>42206.0</v>
      </c>
      <c r="C70" s="23">
        <v>391.0</v>
      </c>
      <c r="D70" s="24" t="s">
        <v>40</v>
      </c>
      <c r="E70" s="25" t="s">
        <v>11</v>
      </c>
      <c r="F70" s="26"/>
      <c r="G70" s="27" t="s">
        <v>38</v>
      </c>
      <c r="H70" s="28">
        <v>5190.0</v>
      </c>
      <c r="I70" s="28">
        <v>9545.45</v>
      </c>
      <c r="J70" s="29">
        <v>4.954088550000001E7</v>
      </c>
      <c r="K70" s="29">
        <v>10736.681967057284</v>
      </c>
      <c r="L70" s="30">
        <v>65417.7</v>
      </c>
      <c r="M70" s="29">
        <v>7.023690399163632E8</v>
      </c>
      <c r="N70" s="31" t="s">
        <v>128</v>
      </c>
      <c r="O70" s="32"/>
      <c r="P70" s="33" t="str">
        <f t="array" ref="P70">IFERROR(
HYPERLINK(
"https://drive.google.com/file/d/"&amp;
XLOOKUP(O70,'Hoa-Don'!A:A,'Hoa-Don'!D:D)
&amp;"/view",
"🔎"
),
""
)</f>
        <v/>
      </c>
    </row>
    <row r="71" ht="22.5" customHeight="1">
      <c r="A71" s="21">
        <v>70.0</v>
      </c>
      <c r="B71" s="22">
        <v>42212.0</v>
      </c>
      <c r="C71" s="23">
        <v>38.0</v>
      </c>
      <c r="D71" s="24" t="s">
        <v>115</v>
      </c>
      <c r="E71" s="35" t="s">
        <v>18</v>
      </c>
      <c r="F71" s="26"/>
      <c r="G71" s="36" t="s">
        <v>42</v>
      </c>
      <c r="H71" s="28">
        <v>425.0</v>
      </c>
      <c r="I71" s="28">
        <v>9566.066969509488</v>
      </c>
      <c r="J71" s="29">
        <v>4065578.462041532</v>
      </c>
      <c r="K71" s="29">
        <v>9566.066969509488</v>
      </c>
      <c r="L71" s="30">
        <v>10516.099999999999</v>
      </c>
      <c r="M71" s="29">
        <v>1.005977168580587E8</v>
      </c>
      <c r="N71" s="31" t="s">
        <v>129</v>
      </c>
      <c r="O71" s="32"/>
      <c r="P71" s="33" t="str">
        <f t="array" ref="P71">IFERROR(
HYPERLINK(
"https://drive.google.com/file/d/"&amp;
XLOOKUP(O71,'Hoa-Don'!A:A,'Hoa-Don'!D:D)
&amp;"/view",
"🔎"
),
""
)</f>
        <v/>
      </c>
    </row>
    <row r="72" ht="22.5" customHeight="1">
      <c r="A72" s="21">
        <v>71.0</v>
      </c>
      <c r="B72" s="22">
        <v>42213.0</v>
      </c>
      <c r="C72" s="23">
        <v>39.0</v>
      </c>
      <c r="D72" s="24" t="s">
        <v>130</v>
      </c>
      <c r="E72" s="25" t="s">
        <v>11</v>
      </c>
      <c r="F72" s="26"/>
      <c r="G72" s="36" t="s">
        <v>42</v>
      </c>
      <c r="H72" s="28">
        <v>345.0</v>
      </c>
      <c r="I72" s="28">
        <v>10736.681967057284</v>
      </c>
      <c r="J72" s="29">
        <v>3704155.278634763</v>
      </c>
      <c r="K72" s="29">
        <v>10736.681967057284</v>
      </c>
      <c r="L72" s="30">
        <v>65072.7</v>
      </c>
      <c r="M72" s="29">
        <v>6.986648846377285E8</v>
      </c>
      <c r="N72" s="31" t="s">
        <v>131</v>
      </c>
      <c r="O72" s="32"/>
      <c r="P72" s="33" t="str">
        <f t="array" ref="P72">IFERROR(
HYPERLINK(
"https://drive.google.com/file/d/"&amp;
XLOOKUP(O72,'Hoa-Don'!A:A,'Hoa-Don'!D:D)
&amp;"/view",
"🔎"
),
""
)</f>
        <v/>
      </c>
    </row>
    <row r="73" ht="22.5" customHeight="1">
      <c r="A73" s="21">
        <v>72.0</v>
      </c>
      <c r="B73" s="22">
        <v>42214.0</v>
      </c>
      <c r="C73" s="23">
        <v>40.0</v>
      </c>
      <c r="D73" s="24" t="s">
        <v>93</v>
      </c>
      <c r="E73" s="25" t="s">
        <v>11</v>
      </c>
      <c r="F73" s="26"/>
      <c r="G73" s="36" t="s">
        <v>42</v>
      </c>
      <c r="H73" s="28">
        <v>8265.0</v>
      </c>
      <c r="I73" s="28">
        <v>10736.681967057284</v>
      </c>
      <c r="J73" s="29">
        <v>8.873867645772845E7</v>
      </c>
      <c r="K73" s="29">
        <v>10736.681967057284</v>
      </c>
      <c r="L73" s="30">
        <v>56807.7</v>
      </c>
      <c r="M73" s="29">
        <v>6.099262081800001E8</v>
      </c>
      <c r="N73" s="31" t="s">
        <v>132</v>
      </c>
      <c r="O73" s="32"/>
      <c r="P73" s="33" t="str">
        <f t="array" ref="P73">IFERROR(
HYPERLINK(
"https://drive.google.com/file/d/"&amp;
XLOOKUP(O73,'Hoa-Don'!A:A,'Hoa-Don'!D:D)
&amp;"/view",
"🔎"
),
""
)</f>
        <v/>
      </c>
    </row>
    <row r="74" ht="22.5" customHeight="1">
      <c r="A74" s="21">
        <v>73.0</v>
      </c>
      <c r="B74" s="22">
        <v>42214.0</v>
      </c>
      <c r="C74" s="23">
        <v>41.0</v>
      </c>
      <c r="D74" s="24" t="s">
        <v>123</v>
      </c>
      <c r="E74" s="35" t="s">
        <v>18</v>
      </c>
      <c r="F74" s="26"/>
      <c r="G74" s="36" t="s">
        <v>42</v>
      </c>
      <c r="H74" s="28">
        <v>1716.0</v>
      </c>
      <c r="I74" s="28">
        <v>9566.066969509488</v>
      </c>
      <c r="J74" s="29">
        <v>1.641537091967828E7</v>
      </c>
      <c r="K74" s="29">
        <v>9566.066969509488</v>
      </c>
      <c r="L74" s="30">
        <v>8800.099999999999</v>
      </c>
      <c r="M74" s="29">
        <v>8.418234593838042E7</v>
      </c>
      <c r="N74" s="31" t="s">
        <v>133</v>
      </c>
      <c r="O74" s="32"/>
      <c r="P74" s="33" t="str">
        <f t="array" ref="P74">IFERROR(
HYPERLINK(
"https://drive.google.com/file/d/"&amp;
XLOOKUP(O74,'Hoa-Don'!A:A,'Hoa-Don'!D:D)
&amp;"/view",
"🔎"
),
""
)</f>
        <v/>
      </c>
    </row>
    <row r="75" ht="22.5" customHeight="1">
      <c r="A75" s="21">
        <v>74.0</v>
      </c>
      <c r="B75" s="22">
        <v>42215.0</v>
      </c>
      <c r="C75" s="23">
        <v>42.0</v>
      </c>
      <c r="D75" s="24" t="s">
        <v>123</v>
      </c>
      <c r="E75" s="35" t="s">
        <v>18</v>
      </c>
      <c r="F75" s="26"/>
      <c r="G75" s="36" t="s">
        <v>42</v>
      </c>
      <c r="H75" s="28">
        <v>1760.0</v>
      </c>
      <c r="I75" s="28">
        <v>9566.066969509488</v>
      </c>
      <c r="J75" s="29">
        <v>1.68362778663367E7</v>
      </c>
      <c r="K75" s="29">
        <v>9566.066969509488</v>
      </c>
      <c r="L75" s="30">
        <v>7040.0999999999985</v>
      </c>
      <c r="M75" s="29">
        <v>6.734606807204373E7</v>
      </c>
      <c r="N75" s="31" t="s">
        <v>134</v>
      </c>
      <c r="O75" s="32"/>
      <c r="P75" s="33" t="str">
        <f t="array" ref="P75">IFERROR(
HYPERLINK(
"https://drive.google.com/file/d/"&amp;
XLOOKUP(O75,'Hoa-Don'!A:A,'Hoa-Don'!D:D)
&amp;"/view",
"🔎"
),
""
)</f>
        <v/>
      </c>
    </row>
    <row r="76" ht="22.5" customHeight="1">
      <c r="A76" s="21">
        <v>75.0</v>
      </c>
      <c r="B76" s="22">
        <v>42217.0</v>
      </c>
      <c r="C76" s="23">
        <v>43.0</v>
      </c>
      <c r="D76" s="24" t="s">
        <v>93</v>
      </c>
      <c r="E76" s="35" t="s">
        <v>18</v>
      </c>
      <c r="F76" s="26"/>
      <c r="G76" s="36" t="s">
        <v>42</v>
      </c>
      <c r="H76" s="28">
        <v>5040.0</v>
      </c>
      <c r="I76" s="28">
        <v>9566.066969509488</v>
      </c>
      <c r="J76" s="29">
        <v>4.821297752632782E7</v>
      </c>
      <c r="K76" s="29">
        <v>9566.066969509488</v>
      </c>
      <c r="L76" s="30">
        <v>2000.0999999999985</v>
      </c>
      <c r="M76" s="29">
        <v>1.9133090545715913E7</v>
      </c>
      <c r="N76" s="31" t="s">
        <v>135</v>
      </c>
      <c r="O76" s="32"/>
      <c r="P76" s="33" t="str">
        <f t="array" ref="P76">IFERROR(
HYPERLINK(
"https://drive.google.com/file/d/"&amp;
XLOOKUP(O76,'Hoa-Don'!A:A,'Hoa-Don'!D:D)
&amp;"/view",
"🔎"
),
""
)</f>
        <v/>
      </c>
    </row>
    <row r="77" ht="22.5" customHeight="1">
      <c r="A77" s="21">
        <v>76.0</v>
      </c>
      <c r="B77" s="22">
        <v>42218.0</v>
      </c>
      <c r="C77" s="23">
        <v>44.0</v>
      </c>
      <c r="D77" s="24" t="s">
        <v>93</v>
      </c>
      <c r="E77" s="35" t="s">
        <v>18</v>
      </c>
      <c r="F77" s="26"/>
      <c r="G77" s="36" t="s">
        <v>42</v>
      </c>
      <c r="H77" s="28">
        <v>603.5</v>
      </c>
      <c r="I77" s="28">
        <v>9566.066969509488</v>
      </c>
      <c r="J77" s="29">
        <v>5773121.416098976</v>
      </c>
      <c r="K77" s="29">
        <v>9566.066969509488</v>
      </c>
      <c r="L77" s="30">
        <v>1396.5999999999985</v>
      </c>
      <c r="M77" s="29">
        <v>1.3359969129616937E7</v>
      </c>
      <c r="N77" s="31" t="s">
        <v>136</v>
      </c>
      <c r="O77" s="32"/>
      <c r="P77" s="33" t="str">
        <f t="array" ref="P77">IFERROR(
HYPERLINK(
"https://drive.google.com/file/d/"&amp;
XLOOKUP(O77,'Hoa-Don'!A:A,'Hoa-Don'!D:D)
&amp;"/view",
"🔎"
),
""
)</f>
        <v/>
      </c>
    </row>
    <row r="78" ht="22.5" customHeight="1">
      <c r="A78" s="21">
        <v>77.0</v>
      </c>
      <c r="B78" s="22">
        <v>42221.0</v>
      </c>
      <c r="C78" s="23">
        <v>45.0</v>
      </c>
      <c r="D78" s="24" t="s">
        <v>63</v>
      </c>
      <c r="E78" s="35" t="s">
        <v>18</v>
      </c>
      <c r="F78" s="26"/>
      <c r="G78" s="36" t="s">
        <v>42</v>
      </c>
      <c r="H78" s="28">
        <v>568.0</v>
      </c>
      <c r="I78" s="28">
        <v>9566.066969509488</v>
      </c>
      <c r="J78" s="29">
        <v>5433526.038681389</v>
      </c>
      <c r="K78" s="29">
        <v>9566.066969509488</v>
      </c>
      <c r="L78" s="30">
        <v>828.5999999999985</v>
      </c>
      <c r="M78" s="29">
        <v>7926443.090935548</v>
      </c>
      <c r="N78" s="31" t="s">
        <v>137</v>
      </c>
      <c r="O78" s="32"/>
      <c r="P78" s="33" t="str">
        <f t="array" ref="P78">IFERROR(
HYPERLINK(
"https://drive.google.com/file/d/"&amp;
XLOOKUP(O78,'Hoa-Don'!A:A,'Hoa-Don'!D:D)
&amp;"/view",
"🔎"
),
""
)</f>
        <v/>
      </c>
    </row>
    <row r="79" ht="22.5" customHeight="1">
      <c r="A79" s="21">
        <v>78.0</v>
      </c>
      <c r="B79" s="22">
        <v>42222.0</v>
      </c>
      <c r="C79" s="23">
        <v>913.0</v>
      </c>
      <c r="D79" s="24" t="s">
        <v>69</v>
      </c>
      <c r="E79" s="35" t="s">
        <v>18</v>
      </c>
      <c r="F79" s="26"/>
      <c r="G79" s="27" t="s">
        <v>38</v>
      </c>
      <c r="H79" s="28">
        <v>1300.0</v>
      </c>
      <c r="I79" s="28">
        <v>8727.27</v>
      </c>
      <c r="J79" s="29">
        <v>1.1345451E7</v>
      </c>
      <c r="K79" s="29">
        <v>9053.788448245588</v>
      </c>
      <c r="L79" s="30">
        <v>2128.5999999999985</v>
      </c>
      <c r="M79" s="29">
        <v>1.9271894090935547E7</v>
      </c>
      <c r="N79" s="31" t="s">
        <v>138</v>
      </c>
      <c r="O79" s="32"/>
      <c r="P79" s="33" t="str">
        <f t="array" ref="P79">IFERROR(
HYPERLINK(
"https://drive.google.com/file/d/"&amp;
XLOOKUP(O79,'Hoa-Don'!A:A,'Hoa-Don'!D:D)
&amp;"/view",
"🔎"
),
""
)</f>
        <v/>
      </c>
    </row>
    <row r="80" ht="22.5" customHeight="1">
      <c r="A80" s="21">
        <v>79.0</v>
      </c>
      <c r="B80" s="22">
        <v>42222.0</v>
      </c>
      <c r="C80" s="23">
        <v>913.0</v>
      </c>
      <c r="D80" s="24" t="s">
        <v>69</v>
      </c>
      <c r="E80" s="35" t="s">
        <v>18</v>
      </c>
      <c r="F80" s="26"/>
      <c r="G80" s="27" t="s">
        <v>38</v>
      </c>
      <c r="H80" s="28">
        <v>3750.0</v>
      </c>
      <c r="I80" s="28">
        <v>8545.45</v>
      </c>
      <c r="J80" s="29">
        <v>3.2045437500000004E7</v>
      </c>
      <c r="K80" s="29">
        <v>8729.515801540429</v>
      </c>
      <c r="L80" s="30">
        <v>5878.5999999999985</v>
      </c>
      <c r="M80" s="29">
        <v>5.131733159093555E7</v>
      </c>
      <c r="N80" s="31" t="s">
        <v>139</v>
      </c>
      <c r="O80" s="32"/>
      <c r="P80" s="33" t="str">
        <f t="array" ref="P80">IFERROR(
HYPERLINK(
"https://drive.google.com/file/d/"&amp;
XLOOKUP(O80,'Hoa-Don'!A:A,'Hoa-Don'!D:D)
&amp;"/view",
"🔎"
),
""
)</f>
        <v/>
      </c>
    </row>
    <row r="81" ht="22.5" customHeight="1">
      <c r="A81" s="21">
        <v>80.0</v>
      </c>
      <c r="B81" s="22">
        <v>42224.0</v>
      </c>
      <c r="C81" s="23">
        <v>46.0</v>
      </c>
      <c r="D81" s="24" t="s">
        <v>140</v>
      </c>
      <c r="E81" s="35" t="s">
        <v>18</v>
      </c>
      <c r="F81" s="26"/>
      <c r="G81" s="36" t="s">
        <v>42</v>
      </c>
      <c r="H81" s="28">
        <v>1033.0</v>
      </c>
      <c r="I81" s="28">
        <v>8729.515801540429</v>
      </c>
      <c r="J81" s="29">
        <v>9017589.822991263</v>
      </c>
      <c r="K81" s="29">
        <v>8729.515801540429</v>
      </c>
      <c r="L81" s="30">
        <v>4845.5999999999985</v>
      </c>
      <c r="M81" s="29">
        <v>4.229974176794429E7</v>
      </c>
      <c r="N81" s="31" t="s">
        <v>141</v>
      </c>
      <c r="O81" s="32"/>
      <c r="P81" s="33" t="str">
        <f t="array" ref="P81">IFERROR(
HYPERLINK(
"https://drive.google.com/file/d/"&amp;
XLOOKUP(O81,'Hoa-Don'!A:A,'Hoa-Don'!D:D)
&amp;"/view",
"🔎"
),
""
)</f>
        <v/>
      </c>
    </row>
    <row r="82" ht="22.5" customHeight="1">
      <c r="A82" s="21">
        <v>81.0</v>
      </c>
      <c r="B82" s="22">
        <v>42225.0</v>
      </c>
      <c r="C82" s="23">
        <v>47.0</v>
      </c>
      <c r="D82" s="24" t="s">
        <v>93</v>
      </c>
      <c r="E82" s="25" t="s">
        <v>11</v>
      </c>
      <c r="F82" s="26"/>
      <c r="G82" s="36" t="s">
        <v>42</v>
      </c>
      <c r="H82" s="28">
        <v>3374.0</v>
      </c>
      <c r="I82" s="28">
        <v>10736.681967057284</v>
      </c>
      <c r="J82" s="29">
        <v>3.6225564956851274E7</v>
      </c>
      <c r="K82" s="29">
        <v>10736.681967057284</v>
      </c>
      <c r="L82" s="30">
        <v>53433.7</v>
      </c>
      <c r="M82" s="29">
        <v>5.737006432231488E8</v>
      </c>
      <c r="N82" s="31" t="s">
        <v>142</v>
      </c>
      <c r="O82" s="32"/>
      <c r="P82" s="33" t="str">
        <f t="array" ref="P82">IFERROR(
HYPERLINK(
"https://drive.google.com/file/d/"&amp;
XLOOKUP(O82,'Hoa-Don'!A:A,'Hoa-Don'!D:D)
&amp;"/view",
"🔎"
),
""
)</f>
        <v/>
      </c>
    </row>
    <row r="83" ht="22.5" customHeight="1">
      <c r="A83" s="21">
        <v>82.0</v>
      </c>
      <c r="B83" s="22">
        <v>42225.0</v>
      </c>
      <c r="C83" s="23">
        <v>47.0</v>
      </c>
      <c r="D83" s="24" t="s">
        <v>93</v>
      </c>
      <c r="E83" s="35" t="s">
        <v>18</v>
      </c>
      <c r="F83" s="26"/>
      <c r="G83" s="36" t="s">
        <v>42</v>
      </c>
      <c r="H83" s="28">
        <v>4566.5</v>
      </c>
      <c r="I83" s="28">
        <v>8729.515801540429</v>
      </c>
      <c r="J83" s="29">
        <v>3.9863333907734364E7</v>
      </c>
      <c r="K83" s="29">
        <v>8729.515801540429</v>
      </c>
      <c r="L83" s="30">
        <v>279.09999999999854</v>
      </c>
      <c r="M83" s="29">
        <v>2436407.860209921</v>
      </c>
      <c r="N83" s="31" t="s">
        <v>143</v>
      </c>
      <c r="O83" s="32"/>
      <c r="P83" s="33" t="str">
        <f t="array" ref="P83">IFERROR(
HYPERLINK(
"https://drive.google.com/file/d/"&amp;
XLOOKUP(O83,'Hoa-Don'!A:A,'Hoa-Don'!D:D)
&amp;"/view",
"🔎"
),
""
)</f>
        <v/>
      </c>
    </row>
    <row r="84" ht="22.5" customHeight="1">
      <c r="A84" s="21">
        <v>83.0</v>
      </c>
      <c r="B84" s="22">
        <v>42234.0</v>
      </c>
      <c r="C84" s="23">
        <v>524.0</v>
      </c>
      <c r="D84" s="24" t="s">
        <v>40</v>
      </c>
      <c r="E84" s="25" t="s">
        <v>11</v>
      </c>
      <c r="F84" s="26"/>
      <c r="G84" s="27" t="s">
        <v>38</v>
      </c>
      <c r="H84" s="28">
        <v>9250.0</v>
      </c>
      <c r="I84" s="28">
        <v>9506.44</v>
      </c>
      <c r="J84" s="29">
        <v>8.793457E7</v>
      </c>
      <c r="K84" s="29">
        <v>10555.13974483237</v>
      </c>
      <c r="L84" s="30">
        <v>62683.7</v>
      </c>
      <c r="M84" s="29">
        <v>6.616352132231488E8</v>
      </c>
      <c r="N84" s="31" t="s">
        <v>144</v>
      </c>
      <c r="O84" s="32"/>
      <c r="P84" s="33" t="str">
        <f t="array" ref="P84">IFERROR(
HYPERLINK(
"https://drive.google.com/file/d/"&amp;
XLOOKUP(O84,'Hoa-Don'!A:A,'Hoa-Don'!D:D)
&amp;"/view",
"🔎"
),
""
)</f>
        <v/>
      </c>
    </row>
    <row r="85" ht="22.5" customHeight="1">
      <c r="A85" s="21">
        <v>84.0</v>
      </c>
      <c r="B85" s="22">
        <v>42240.0</v>
      </c>
      <c r="C85" s="23">
        <v>941.0</v>
      </c>
      <c r="D85" s="24" t="s">
        <v>37</v>
      </c>
      <c r="E85" s="37" t="s">
        <v>16</v>
      </c>
      <c r="F85" s="26"/>
      <c r="G85" s="27" t="s">
        <v>38</v>
      </c>
      <c r="H85" s="28">
        <v>4135.0</v>
      </c>
      <c r="I85" s="28">
        <v>13200.0</v>
      </c>
      <c r="J85" s="29">
        <v>5.4582E7</v>
      </c>
      <c r="K85" s="29">
        <v>13566.691932864103</v>
      </c>
      <c r="L85" s="30">
        <v>9235.0</v>
      </c>
      <c r="M85" s="29">
        <v>1.252884E8</v>
      </c>
      <c r="N85" s="31" t="s">
        <v>145</v>
      </c>
      <c r="O85" s="32"/>
      <c r="P85" s="33" t="str">
        <f t="array" ref="P85">IFERROR(
HYPERLINK(
"https://drive.google.com/file/d/"&amp;
XLOOKUP(O85,'Hoa-Don'!A:A,'Hoa-Don'!D:D)
&amp;"/view",
"🔎"
),
""
)</f>
        <v/>
      </c>
    </row>
    <row r="86" ht="22.5" customHeight="1">
      <c r="A86" s="21">
        <v>85.0</v>
      </c>
      <c r="B86" s="22">
        <v>42241.0</v>
      </c>
      <c r="C86" s="23">
        <v>48.0</v>
      </c>
      <c r="D86" s="24" t="s">
        <v>146</v>
      </c>
      <c r="E86" s="37" t="s">
        <v>16</v>
      </c>
      <c r="F86" s="26"/>
      <c r="G86" s="36" t="s">
        <v>42</v>
      </c>
      <c r="H86" s="28">
        <v>1280.0</v>
      </c>
      <c r="I86" s="28">
        <v>13566.691932864103</v>
      </c>
      <c r="J86" s="29">
        <v>1.736536567406605E7</v>
      </c>
      <c r="K86" s="29">
        <v>13566.691932864103</v>
      </c>
      <c r="L86" s="30">
        <v>7955.0</v>
      </c>
      <c r="M86" s="29">
        <v>1.0792303432593395E8</v>
      </c>
      <c r="N86" s="31" t="s">
        <v>147</v>
      </c>
      <c r="O86" s="32"/>
      <c r="P86" s="33" t="str">
        <f t="array" ref="P86">IFERROR(
HYPERLINK(
"https://drive.google.com/file/d/"&amp;
XLOOKUP(O86,'Hoa-Don'!A:A,'Hoa-Don'!D:D)
&amp;"/view",
"🔎"
),
""
)</f>
        <v/>
      </c>
    </row>
    <row r="87" ht="22.5" customHeight="1">
      <c r="A87" s="21">
        <v>86.0</v>
      </c>
      <c r="B87" s="22">
        <v>42243.0</v>
      </c>
      <c r="C87" s="23">
        <v>552.0</v>
      </c>
      <c r="D87" s="24" t="s">
        <v>40</v>
      </c>
      <c r="E87" s="25" t="s">
        <v>11</v>
      </c>
      <c r="F87" s="26"/>
      <c r="G87" s="27" t="s">
        <v>38</v>
      </c>
      <c r="H87" s="28">
        <v>3830.0</v>
      </c>
      <c r="I87" s="28">
        <v>9191.78</v>
      </c>
      <c r="J87" s="29">
        <v>3.5204517400000006E7</v>
      </c>
      <c r="K87" s="29">
        <v>10476.634597431039</v>
      </c>
      <c r="L87" s="30">
        <v>66513.7</v>
      </c>
      <c r="M87" s="29">
        <v>6.968397306231488E8</v>
      </c>
      <c r="N87" s="31" t="s">
        <v>148</v>
      </c>
      <c r="O87" s="32"/>
      <c r="P87" s="33" t="str">
        <f t="array" ref="P87">IFERROR(
HYPERLINK(
"https://drive.google.com/file/d/"&amp;
XLOOKUP(O87,'Hoa-Don'!A:A,'Hoa-Don'!D:D)
&amp;"/view",
"🔎"
),
""
)</f>
        <v/>
      </c>
    </row>
    <row r="88" ht="22.5" customHeight="1">
      <c r="A88" s="21">
        <v>87.0</v>
      </c>
      <c r="B88" s="22">
        <v>42243.0</v>
      </c>
      <c r="C88" s="23">
        <v>49.0</v>
      </c>
      <c r="D88" s="24" t="s">
        <v>146</v>
      </c>
      <c r="E88" s="37" t="s">
        <v>16</v>
      </c>
      <c r="F88" s="26"/>
      <c r="G88" s="36" t="s">
        <v>42</v>
      </c>
      <c r="H88" s="28">
        <v>1276.0</v>
      </c>
      <c r="I88" s="28">
        <v>13566.691932864103</v>
      </c>
      <c r="J88" s="29">
        <v>1.7311098906334598E7</v>
      </c>
      <c r="K88" s="29">
        <v>13566.691932864103</v>
      </c>
      <c r="L88" s="30">
        <v>6679.0</v>
      </c>
      <c r="M88" s="29">
        <v>9.061193541959934E7</v>
      </c>
      <c r="N88" s="31" t="s">
        <v>149</v>
      </c>
      <c r="O88" s="32"/>
      <c r="P88" s="33" t="str">
        <f t="array" ref="P88">IFERROR(
HYPERLINK(
"https://drive.google.com/file/d/"&amp;
XLOOKUP(O88,'Hoa-Don'!A:A,'Hoa-Don'!D:D)
&amp;"/view",
"🔎"
),
""
)</f>
        <v/>
      </c>
    </row>
    <row r="89" ht="22.5" customHeight="1">
      <c r="A89" s="21">
        <v>88.0</v>
      </c>
      <c r="B89" s="22">
        <v>42244.0</v>
      </c>
      <c r="C89" s="23">
        <v>1054.0</v>
      </c>
      <c r="D89" s="24" t="s">
        <v>69</v>
      </c>
      <c r="E89" s="35" t="s">
        <v>18</v>
      </c>
      <c r="F89" s="26"/>
      <c r="G89" s="27" t="s">
        <v>38</v>
      </c>
      <c r="H89" s="28">
        <v>5180.0</v>
      </c>
      <c r="I89" s="28">
        <v>8454.54</v>
      </c>
      <c r="J89" s="29">
        <v>4.37945172E7</v>
      </c>
      <c r="K89" s="29">
        <v>8468.598314778981</v>
      </c>
      <c r="L89" s="30">
        <v>5459.0999999999985</v>
      </c>
      <c r="M89" s="29">
        <v>4.623092506020992E7</v>
      </c>
      <c r="N89" s="31" t="s">
        <v>150</v>
      </c>
      <c r="O89" s="32"/>
      <c r="P89" s="33" t="str">
        <f t="array" ref="P89">IFERROR(
HYPERLINK(
"https://drive.google.com/file/d/"&amp;
XLOOKUP(O89,'Hoa-Don'!A:A,'Hoa-Don'!D:D)
&amp;"/view",
"🔎"
),
""
)</f>
        <v/>
      </c>
    </row>
    <row r="90" ht="22.5" customHeight="1">
      <c r="A90" s="21">
        <v>89.0</v>
      </c>
      <c r="B90" s="22">
        <v>42245.0</v>
      </c>
      <c r="C90" s="23">
        <v>50.0</v>
      </c>
      <c r="D90" s="24" t="s">
        <v>146</v>
      </c>
      <c r="E90" s="37" t="s">
        <v>16</v>
      </c>
      <c r="F90" s="26"/>
      <c r="G90" s="36" t="s">
        <v>42</v>
      </c>
      <c r="H90" s="28">
        <v>1270.0</v>
      </c>
      <c r="I90" s="28">
        <v>13566.691932864103</v>
      </c>
      <c r="J90" s="29">
        <v>1.722969875473741E7</v>
      </c>
      <c r="K90" s="29">
        <v>13566.691932864103</v>
      </c>
      <c r="L90" s="30">
        <v>5409.0</v>
      </c>
      <c r="M90" s="29">
        <v>7.338223666486193E7</v>
      </c>
      <c r="N90" s="31" t="s">
        <v>151</v>
      </c>
      <c r="O90" s="32"/>
      <c r="P90" s="33" t="str">
        <f t="array" ref="P90">IFERROR(
HYPERLINK(
"https://drive.google.com/file/d/"&amp;
XLOOKUP(O90,'Hoa-Don'!A:A,'Hoa-Don'!D:D)
&amp;"/view",
"🔎"
),
""
)</f>
        <v/>
      </c>
    </row>
    <row r="91" ht="22.5" customHeight="1">
      <c r="A91" s="21">
        <v>90.0</v>
      </c>
      <c r="B91" s="22">
        <v>42247.0</v>
      </c>
      <c r="C91" s="23">
        <v>2394.0</v>
      </c>
      <c r="D91" s="24" t="s">
        <v>71</v>
      </c>
      <c r="E91" s="25" t="s">
        <v>11</v>
      </c>
      <c r="F91" s="26"/>
      <c r="G91" s="27" t="s">
        <v>38</v>
      </c>
      <c r="H91" s="28">
        <v>9950.0</v>
      </c>
      <c r="I91" s="28">
        <v>9454.55</v>
      </c>
      <c r="J91" s="29">
        <v>9.40727725E7</v>
      </c>
      <c r="K91" s="29">
        <v>10343.633686614025</v>
      </c>
      <c r="L91" s="30">
        <v>76463.7</v>
      </c>
      <c r="M91" s="29">
        <v>7.909125031231488E8</v>
      </c>
      <c r="N91" s="31" t="s">
        <v>152</v>
      </c>
      <c r="O91" s="32"/>
      <c r="P91" s="33" t="str">
        <f t="array" ref="P91">IFERROR(
HYPERLINK(
"https://drive.google.com/file/d/"&amp;
XLOOKUP(O91,'Hoa-Don'!A:A,'Hoa-Don'!D:D)
&amp;"/view",
"🔎"
),
""
)</f>
        <v/>
      </c>
    </row>
    <row r="92" ht="22.5" customHeight="1">
      <c r="A92" s="21">
        <v>91.0</v>
      </c>
      <c r="B92" s="22">
        <v>42248.0</v>
      </c>
      <c r="C92" s="23">
        <v>51.0</v>
      </c>
      <c r="D92" s="24" t="s">
        <v>140</v>
      </c>
      <c r="E92" s="35" t="s">
        <v>18</v>
      </c>
      <c r="F92" s="26"/>
      <c r="G92" s="36" t="s">
        <v>42</v>
      </c>
      <c r="H92" s="28">
        <v>1160.0</v>
      </c>
      <c r="I92" s="28">
        <v>8468.598314778981</v>
      </c>
      <c r="J92" s="29">
        <v>9823574.045143617</v>
      </c>
      <c r="K92" s="29">
        <v>8468.598314778981</v>
      </c>
      <c r="L92" s="30">
        <v>4299.0999999999985</v>
      </c>
      <c r="M92" s="29">
        <v>3.64073510150663E7</v>
      </c>
      <c r="N92" s="31" t="s">
        <v>153</v>
      </c>
      <c r="O92" s="32"/>
      <c r="P92" s="33" t="str">
        <f t="array" ref="P92">IFERROR(
HYPERLINK(
"https://drive.google.com/file/d/"&amp;
XLOOKUP(O92,'Hoa-Don'!A:A,'Hoa-Don'!D:D)
&amp;"/view",
"🔎"
),
""
)</f>
        <v/>
      </c>
    </row>
    <row r="93" ht="22.5" customHeight="1">
      <c r="A93" s="21">
        <v>92.0</v>
      </c>
      <c r="B93" s="22">
        <v>42253.0</v>
      </c>
      <c r="C93" s="23">
        <v>52.0</v>
      </c>
      <c r="D93" s="24" t="s">
        <v>123</v>
      </c>
      <c r="E93" s="35" t="s">
        <v>18</v>
      </c>
      <c r="F93" s="26"/>
      <c r="G93" s="36" t="s">
        <v>42</v>
      </c>
      <c r="H93" s="28">
        <v>1800.0</v>
      </c>
      <c r="I93" s="28">
        <v>8468.598314778981</v>
      </c>
      <c r="J93" s="29">
        <v>1.5243476966602165E7</v>
      </c>
      <c r="K93" s="29">
        <v>8468.598314778981</v>
      </c>
      <c r="L93" s="30">
        <v>2499.0999999999985</v>
      </c>
      <c r="M93" s="29">
        <v>2.1163874048464138E7</v>
      </c>
      <c r="N93" s="31" t="s">
        <v>154</v>
      </c>
      <c r="O93" s="32"/>
      <c r="P93" s="33" t="str">
        <f t="array" ref="P93">IFERROR(
HYPERLINK(
"https://drive.google.com/file/d/"&amp;
XLOOKUP(O93,'Hoa-Don'!A:A,'Hoa-Don'!D:D)
&amp;"/view",
"🔎"
),
""
)</f>
        <v/>
      </c>
    </row>
    <row r="94" ht="22.5" customHeight="1">
      <c r="A94" s="21">
        <v>93.0</v>
      </c>
      <c r="B94" s="22">
        <v>42261.0</v>
      </c>
      <c r="C94" s="23">
        <v>204.0</v>
      </c>
      <c r="D94" s="24" t="s">
        <v>155</v>
      </c>
      <c r="E94" s="35" t="s">
        <v>18</v>
      </c>
      <c r="F94" s="26"/>
      <c r="G94" s="27" t="s">
        <v>38</v>
      </c>
      <c r="H94" s="28">
        <v>1330.0</v>
      </c>
      <c r="I94" s="28">
        <v>8181.82</v>
      </c>
      <c r="J94" s="29">
        <v>1.08818206E7</v>
      </c>
      <c r="K94" s="29">
        <v>8368.988704516505</v>
      </c>
      <c r="L94" s="30">
        <v>3829.0999999999985</v>
      </c>
      <c r="M94" s="29">
        <v>3.2045694648464136E7</v>
      </c>
      <c r="N94" s="31" t="s">
        <v>156</v>
      </c>
      <c r="O94" s="32"/>
      <c r="P94" s="33" t="str">
        <f t="array" ref="P94">IFERROR(
HYPERLINK(
"https://drive.google.com/file/d/"&amp;
XLOOKUP(O94,'Hoa-Don'!A:A,'Hoa-Don'!D:D)
&amp;"/view",
"🔎"
),
""
)</f>
        <v/>
      </c>
    </row>
    <row r="95" ht="22.5" customHeight="1">
      <c r="A95" s="21">
        <v>94.0</v>
      </c>
      <c r="B95" s="22">
        <v>42262.0</v>
      </c>
      <c r="C95" s="23">
        <v>205.0</v>
      </c>
      <c r="D95" s="24" t="s">
        <v>155</v>
      </c>
      <c r="E95" s="35" t="s">
        <v>18</v>
      </c>
      <c r="F95" s="26"/>
      <c r="G95" s="27" t="s">
        <v>38</v>
      </c>
      <c r="H95" s="28">
        <v>2080.0</v>
      </c>
      <c r="I95" s="28">
        <v>7727.27</v>
      </c>
      <c r="J95" s="29">
        <v>1.6072721600000001E7</v>
      </c>
      <c r="K95" s="29">
        <v>8143.104068041521</v>
      </c>
      <c r="L95" s="30">
        <v>5909.0999999999985</v>
      </c>
      <c r="M95" s="29">
        <v>4.811841624846414E7</v>
      </c>
      <c r="N95" s="31" t="s">
        <v>157</v>
      </c>
      <c r="O95" s="32"/>
      <c r="P95" s="33" t="str">
        <f t="array" ref="P95">IFERROR(
HYPERLINK(
"https://drive.google.com/file/d/"&amp;
XLOOKUP(O95,'Hoa-Don'!A:A,'Hoa-Don'!D:D)
&amp;"/view",
"🔎"
),
""
)</f>
        <v/>
      </c>
    </row>
    <row r="96" ht="22.5" customHeight="1">
      <c r="A96" s="21">
        <v>95.0</v>
      </c>
      <c r="B96" s="22">
        <v>42263.0</v>
      </c>
      <c r="C96" s="23">
        <v>207.0</v>
      </c>
      <c r="D96" s="24" t="s">
        <v>155</v>
      </c>
      <c r="E96" s="35" t="s">
        <v>18</v>
      </c>
      <c r="F96" s="26"/>
      <c r="G96" s="27" t="s">
        <v>38</v>
      </c>
      <c r="H96" s="28">
        <v>3956.4</v>
      </c>
      <c r="I96" s="28">
        <v>8181.82</v>
      </c>
      <c r="J96" s="29">
        <v>3.2370552648E7</v>
      </c>
      <c r="K96" s="29">
        <v>8158.6304694606615</v>
      </c>
      <c r="L96" s="30">
        <v>9865.499999999998</v>
      </c>
      <c r="M96" s="29">
        <v>8.048896889646414E7</v>
      </c>
      <c r="N96" s="31" t="s">
        <v>158</v>
      </c>
      <c r="O96" s="32"/>
      <c r="P96" s="33" t="str">
        <f t="array" ref="P96">IFERROR(
HYPERLINK(
"https://drive.google.com/file/d/"&amp;
XLOOKUP(O96,'Hoa-Don'!A:A,'Hoa-Don'!D:D)
&amp;"/view",
"🔎"
),
""
)</f>
        <v/>
      </c>
    </row>
    <row r="97" ht="22.5" customHeight="1">
      <c r="A97" s="21">
        <v>96.0</v>
      </c>
      <c r="B97" s="22">
        <v>42277.0</v>
      </c>
      <c r="C97" s="23">
        <v>1281.0</v>
      </c>
      <c r="D97" s="24" t="s">
        <v>69</v>
      </c>
      <c r="E97" s="35" t="s">
        <v>18</v>
      </c>
      <c r="F97" s="26"/>
      <c r="G97" s="27" t="s">
        <v>38</v>
      </c>
      <c r="H97" s="28">
        <v>1488.0</v>
      </c>
      <c r="I97" s="28">
        <v>8000.0</v>
      </c>
      <c r="J97" s="29">
        <v>1.1904E7</v>
      </c>
      <c r="K97" s="29">
        <v>8137.84021636184</v>
      </c>
      <c r="L97" s="30">
        <v>11353.499999999998</v>
      </c>
      <c r="M97" s="29">
        <v>9.239296889646414E7</v>
      </c>
      <c r="N97" s="31" t="s">
        <v>159</v>
      </c>
      <c r="O97" s="32"/>
      <c r="P97" s="33" t="str">
        <f t="array" ref="P97">IFERROR(
HYPERLINK(
"https://drive.google.com/file/d/"&amp;
XLOOKUP(O97,'Hoa-Don'!A:A,'Hoa-Don'!D:D)
&amp;"/view",
"🔎"
),
""
)</f>
        <v/>
      </c>
    </row>
    <row r="98" ht="22.5" customHeight="1">
      <c r="A98" s="21">
        <v>97.0</v>
      </c>
      <c r="B98" s="22">
        <v>42277.0</v>
      </c>
      <c r="C98" s="23">
        <v>1281.0</v>
      </c>
      <c r="D98" s="24" t="s">
        <v>69</v>
      </c>
      <c r="E98" s="35" t="s">
        <v>18</v>
      </c>
      <c r="F98" s="26"/>
      <c r="G98" s="27" t="s">
        <v>38</v>
      </c>
      <c r="H98" s="28">
        <v>5122.0</v>
      </c>
      <c r="I98" s="28">
        <v>7545.45</v>
      </c>
      <c r="J98" s="29">
        <v>3.86477949E7</v>
      </c>
      <c r="K98" s="29">
        <v>7953.674474004682</v>
      </c>
      <c r="L98" s="30">
        <v>16475.5</v>
      </c>
      <c r="M98" s="29">
        <v>1.3104076379646415E8</v>
      </c>
      <c r="N98" s="31" t="s">
        <v>160</v>
      </c>
      <c r="O98" s="32"/>
      <c r="P98" s="33" t="str">
        <f t="array" ref="P98">IFERROR(
HYPERLINK(
"https://drive.google.com/file/d/"&amp;
XLOOKUP(O98,'Hoa-Don'!A:A,'Hoa-Don'!D:D)
&amp;"/view",
"🔎"
),
""
)</f>
        <v/>
      </c>
    </row>
    <row r="99" ht="22.5" customHeight="1">
      <c r="A99" s="21">
        <v>98.0</v>
      </c>
      <c r="B99" s="22">
        <v>42277.0</v>
      </c>
      <c r="C99" s="23">
        <v>53.0</v>
      </c>
      <c r="D99" s="24" t="s">
        <v>130</v>
      </c>
      <c r="E99" s="35" t="s">
        <v>18</v>
      </c>
      <c r="F99" s="26"/>
      <c r="G99" s="36" t="s">
        <v>42</v>
      </c>
      <c r="H99" s="28">
        <v>308.0</v>
      </c>
      <c r="I99" s="28">
        <v>7953.674474004682</v>
      </c>
      <c r="J99" s="29">
        <v>2449731.737993442</v>
      </c>
      <c r="K99" s="29">
        <v>7953.674474004682</v>
      </c>
      <c r="L99" s="30">
        <v>16167.5</v>
      </c>
      <c r="M99" s="29">
        <v>1.285910320584707E8</v>
      </c>
      <c r="N99" s="31" t="s">
        <v>161</v>
      </c>
      <c r="O99" s="32"/>
      <c r="P99" s="33" t="str">
        <f t="array" ref="P99">IFERROR(
HYPERLINK(
"https://drive.google.com/file/d/"&amp;
XLOOKUP(O99,'Hoa-Don'!A:A,'Hoa-Don'!D:D)
&amp;"/view",
"🔎"
),
""
)</f>
        <v/>
      </c>
    </row>
    <row r="100" ht="22.5" customHeight="1">
      <c r="A100" s="21">
        <v>99.0</v>
      </c>
      <c r="B100" s="22">
        <v>42284.0</v>
      </c>
      <c r="C100" s="23">
        <v>933.0</v>
      </c>
      <c r="D100" s="24" t="s">
        <v>86</v>
      </c>
      <c r="E100" s="25" t="s">
        <v>11</v>
      </c>
      <c r="F100" s="26"/>
      <c r="G100" s="27" t="s">
        <v>38</v>
      </c>
      <c r="H100" s="28">
        <v>13750.0</v>
      </c>
      <c r="I100" s="28">
        <v>7702.28</v>
      </c>
      <c r="J100" s="29">
        <v>1.0590635E8</v>
      </c>
      <c r="K100" s="29">
        <v>9941.04945394268</v>
      </c>
      <c r="L100" s="30">
        <v>90213.7</v>
      </c>
      <c r="M100" s="29">
        <v>8.968188531231488E8</v>
      </c>
      <c r="N100" s="31" t="s">
        <v>162</v>
      </c>
      <c r="O100" s="32"/>
      <c r="P100" s="33" t="str">
        <f t="array" ref="P100">IFERROR(
HYPERLINK(
"https://drive.google.com/file/d/"&amp;
XLOOKUP(O100,'Hoa-Don'!A:A,'Hoa-Don'!D:D)
&amp;"/view",
"🔎"
),
""
)</f>
        <v/>
      </c>
    </row>
    <row r="101" ht="22.5" customHeight="1">
      <c r="A101" s="21">
        <v>100.0</v>
      </c>
      <c r="B101" s="22">
        <v>42291.0</v>
      </c>
      <c r="C101" s="23">
        <v>54.0</v>
      </c>
      <c r="D101" s="24" t="s">
        <v>140</v>
      </c>
      <c r="E101" s="35" t="s">
        <v>18</v>
      </c>
      <c r="F101" s="26"/>
      <c r="G101" s="36" t="s">
        <v>42</v>
      </c>
      <c r="H101" s="28">
        <v>821.0</v>
      </c>
      <c r="I101" s="28">
        <v>7953.674474004682</v>
      </c>
      <c r="J101" s="29">
        <v>6529966.743157844</v>
      </c>
      <c r="K101" s="29">
        <v>7953.674474004682</v>
      </c>
      <c r="L101" s="30">
        <v>15346.5</v>
      </c>
      <c r="M101" s="29">
        <v>1.2206106531531286E8</v>
      </c>
      <c r="N101" s="31" t="s">
        <v>163</v>
      </c>
      <c r="O101" s="32"/>
      <c r="P101" s="33" t="str">
        <f t="array" ref="P101">IFERROR(
HYPERLINK(
"https://drive.google.com/file/d/"&amp;
XLOOKUP(O101,'Hoa-Don'!A:A,'Hoa-Don'!D:D)
&amp;"/view",
"🔎"
),
""
)</f>
        <v/>
      </c>
    </row>
    <row r="102" ht="22.5" customHeight="1">
      <c r="A102" s="21">
        <v>101.0</v>
      </c>
      <c r="B102" s="22">
        <v>42304.0</v>
      </c>
      <c r="C102" s="23">
        <v>1093.0</v>
      </c>
      <c r="D102" s="24" t="s">
        <v>86</v>
      </c>
      <c r="E102" s="35" t="s">
        <v>18</v>
      </c>
      <c r="F102" s="26"/>
      <c r="G102" s="27" t="s">
        <v>38</v>
      </c>
      <c r="H102" s="28">
        <v>9863.6</v>
      </c>
      <c r="I102" s="28">
        <v>6909.09</v>
      </c>
      <c r="J102" s="29">
        <v>6.8148500124E7</v>
      </c>
      <c r="K102" s="29">
        <v>7544.9746506087995</v>
      </c>
      <c r="L102" s="30">
        <v>25210.1</v>
      </c>
      <c r="M102" s="29">
        <v>1.9020956543931288E8</v>
      </c>
      <c r="N102" s="31" t="s">
        <v>164</v>
      </c>
      <c r="O102" s="32"/>
      <c r="P102" s="33" t="str">
        <f t="array" ref="P102">IFERROR(
HYPERLINK(
"https://drive.google.com/file/d/"&amp;
XLOOKUP(O102,'Hoa-Don'!A:A,'Hoa-Don'!D:D)
&amp;"/view",
"🔎"
),
""
)</f>
        <v/>
      </c>
    </row>
    <row r="103" ht="22.5" customHeight="1">
      <c r="A103" s="21">
        <v>102.0</v>
      </c>
      <c r="B103" s="22">
        <v>42309.0</v>
      </c>
      <c r="C103" s="23">
        <v>55.0</v>
      </c>
      <c r="D103" s="24" t="s">
        <v>165</v>
      </c>
      <c r="E103" s="35" t="s">
        <v>18</v>
      </c>
      <c r="F103" s="26"/>
      <c r="G103" s="36" t="s">
        <v>42</v>
      </c>
      <c r="H103" s="28">
        <v>1502.0</v>
      </c>
      <c r="I103" s="28">
        <v>7544.9746506087995</v>
      </c>
      <c r="J103" s="29">
        <v>1.1332551925214417E7</v>
      </c>
      <c r="K103" s="29">
        <v>7544.9746506087995</v>
      </c>
      <c r="L103" s="30">
        <v>23708.1</v>
      </c>
      <c r="M103" s="29">
        <v>1.7887701351409847E8</v>
      </c>
      <c r="N103" s="31" t="s">
        <v>166</v>
      </c>
      <c r="O103" s="32"/>
      <c r="P103" s="33" t="str">
        <f t="array" ref="P103">IFERROR(
HYPERLINK(
"https://drive.google.com/file/d/"&amp;
XLOOKUP(O103,'Hoa-Don'!A:A,'Hoa-Don'!D:D)
&amp;"/view",
"🔎"
),
""
)</f>
        <v/>
      </c>
    </row>
    <row r="104" ht="22.5" customHeight="1">
      <c r="A104" s="21">
        <v>103.0</v>
      </c>
      <c r="B104" s="22">
        <v>42310.0</v>
      </c>
      <c r="C104" s="23">
        <v>362.0</v>
      </c>
      <c r="D104" s="24" t="s">
        <v>84</v>
      </c>
      <c r="E104" s="35" t="s">
        <v>18</v>
      </c>
      <c r="F104" s="26"/>
      <c r="G104" s="27" t="s">
        <v>38</v>
      </c>
      <c r="H104" s="28">
        <v>1640.0</v>
      </c>
      <c r="I104" s="28">
        <v>6909.09</v>
      </c>
      <c r="J104" s="29">
        <v>1.13309076E7</v>
      </c>
      <c r="K104" s="29">
        <v>7503.833467364358</v>
      </c>
      <c r="L104" s="30">
        <v>25348.1</v>
      </c>
      <c r="M104" s="29">
        <v>1.9020792111409846E8</v>
      </c>
      <c r="N104" s="31" t="s">
        <v>167</v>
      </c>
      <c r="O104" s="32"/>
      <c r="P104" s="33" t="str">
        <f t="array" ref="P104">IFERROR(
HYPERLINK(
"https://drive.google.com/file/d/"&amp;
XLOOKUP(O104,'Hoa-Don'!A:A,'Hoa-Don'!D:D)
&amp;"/view",
"🔎"
),
""
)</f>
        <v/>
      </c>
    </row>
    <row r="105" ht="22.5" customHeight="1">
      <c r="A105" s="21">
        <v>104.0</v>
      </c>
      <c r="B105" s="22">
        <v>42311.0</v>
      </c>
      <c r="C105" s="23">
        <v>364.0</v>
      </c>
      <c r="D105" s="24" t="s">
        <v>84</v>
      </c>
      <c r="E105" s="35" t="s">
        <v>18</v>
      </c>
      <c r="F105" s="26"/>
      <c r="G105" s="27" t="s">
        <v>38</v>
      </c>
      <c r="H105" s="28">
        <v>1840.0</v>
      </c>
      <c r="I105" s="28">
        <v>6909.09</v>
      </c>
      <c r="J105" s="29">
        <v>1.27127256E7</v>
      </c>
      <c r="K105" s="29">
        <v>7463.583211555734</v>
      </c>
      <c r="L105" s="30">
        <v>27188.1</v>
      </c>
      <c r="M105" s="29">
        <v>2.0292064671409845E8</v>
      </c>
      <c r="N105" s="31" t="s">
        <v>168</v>
      </c>
      <c r="O105" s="32"/>
      <c r="P105" s="33" t="str">
        <f t="array" ref="P105">IFERROR(
HYPERLINK(
"https://drive.google.com/file/d/"&amp;
XLOOKUP(O105,'Hoa-Don'!A:A,'Hoa-Don'!D:D)
&amp;"/view",
"🔎"
),
""
)</f>
        <v/>
      </c>
    </row>
    <row r="106" ht="22.5" customHeight="1">
      <c r="A106" s="21">
        <v>105.0</v>
      </c>
      <c r="B106" s="22">
        <v>42313.0</v>
      </c>
      <c r="C106" s="23">
        <v>57.0</v>
      </c>
      <c r="D106" s="24" t="s">
        <v>165</v>
      </c>
      <c r="E106" s="35" t="s">
        <v>18</v>
      </c>
      <c r="F106" s="26"/>
      <c r="G106" s="36" t="s">
        <v>42</v>
      </c>
      <c r="H106" s="28">
        <v>1581.0</v>
      </c>
      <c r="I106" s="28">
        <v>7463.583211555734</v>
      </c>
      <c r="J106" s="29">
        <v>1.1799925057469616E7</v>
      </c>
      <c r="K106" s="29">
        <v>7463.583211555734</v>
      </c>
      <c r="L106" s="30">
        <v>25607.1</v>
      </c>
      <c r="M106" s="29">
        <v>1.9112072165662882E8</v>
      </c>
      <c r="N106" s="31" t="s">
        <v>169</v>
      </c>
      <c r="O106" s="32"/>
      <c r="P106" s="33" t="str">
        <f t="array" ref="P106">IFERROR(
HYPERLINK(
"https://drive.google.com/file/d/"&amp;
XLOOKUP(O106,'Hoa-Don'!A:A,'Hoa-Don'!D:D)
&amp;"/view",
"🔎"
),
""
)</f>
        <v/>
      </c>
    </row>
    <row r="107" ht="22.5" customHeight="1">
      <c r="A107" s="21">
        <v>106.0</v>
      </c>
      <c r="B107" s="22">
        <v>42314.0</v>
      </c>
      <c r="C107" s="23">
        <v>58.0</v>
      </c>
      <c r="D107" s="24" t="s">
        <v>123</v>
      </c>
      <c r="E107" s="35" t="s">
        <v>18</v>
      </c>
      <c r="F107" s="26"/>
      <c r="G107" s="36" t="s">
        <v>42</v>
      </c>
      <c r="H107" s="28">
        <v>1800.0</v>
      </c>
      <c r="I107" s="28">
        <v>7463.583211555734</v>
      </c>
      <c r="J107" s="29">
        <v>1.3434449780800322E7</v>
      </c>
      <c r="K107" s="29">
        <v>7463.583211555734</v>
      </c>
      <c r="L107" s="30">
        <v>23807.1</v>
      </c>
      <c r="M107" s="29">
        <v>1.776862718758285E8</v>
      </c>
      <c r="N107" s="31" t="s">
        <v>170</v>
      </c>
      <c r="O107" s="32"/>
      <c r="P107" s="33" t="str">
        <f t="array" ref="P107">IFERROR(
HYPERLINK(
"https://drive.google.com/file/d/"&amp;
XLOOKUP(O107,'Hoa-Don'!A:A,'Hoa-Don'!D:D)
&amp;"/view",
"🔎"
),
""
)</f>
        <v/>
      </c>
    </row>
    <row r="108" ht="22.5" customHeight="1">
      <c r="A108" s="21">
        <v>107.0</v>
      </c>
      <c r="B108" s="22">
        <v>42315.0</v>
      </c>
      <c r="C108" s="23">
        <v>59.0</v>
      </c>
      <c r="D108" s="24" t="s">
        <v>123</v>
      </c>
      <c r="E108" s="35" t="s">
        <v>18</v>
      </c>
      <c r="F108" s="26"/>
      <c r="G108" s="36" t="s">
        <v>42</v>
      </c>
      <c r="H108" s="28">
        <v>1500.0</v>
      </c>
      <c r="I108" s="28">
        <v>7463.583211555734</v>
      </c>
      <c r="J108" s="29">
        <v>1.1195374817333601E7</v>
      </c>
      <c r="K108" s="29">
        <v>7463.583211555734</v>
      </c>
      <c r="L108" s="30">
        <v>22307.1</v>
      </c>
      <c r="M108" s="29">
        <v>1.664908970584949E8</v>
      </c>
      <c r="N108" s="31" t="s">
        <v>171</v>
      </c>
      <c r="O108" s="32"/>
      <c r="P108" s="33" t="str">
        <f t="array" ref="P108">IFERROR(
HYPERLINK(
"https://drive.google.com/file/d/"&amp;
XLOOKUP(O108,'Hoa-Don'!A:A,'Hoa-Don'!D:D)
&amp;"/view",
"🔎"
),
""
)</f>
        <v/>
      </c>
    </row>
    <row r="109" ht="22.5" customHeight="1">
      <c r="A109" s="21">
        <v>108.0</v>
      </c>
      <c r="B109" s="22">
        <v>42315.0</v>
      </c>
      <c r="C109" s="23">
        <v>61.0</v>
      </c>
      <c r="D109" s="24" t="s">
        <v>165</v>
      </c>
      <c r="E109" s="35" t="s">
        <v>18</v>
      </c>
      <c r="F109" s="26"/>
      <c r="G109" s="36" t="s">
        <v>42</v>
      </c>
      <c r="H109" s="28">
        <v>1310.0</v>
      </c>
      <c r="I109" s="28">
        <v>7463.583211555734</v>
      </c>
      <c r="J109" s="29">
        <v>9777294.007138012</v>
      </c>
      <c r="K109" s="29">
        <v>7463.583211555734</v>
      </c>
      <c r="L109" s="30">
        <v>20997.1</v>
      </c>
      <c r="M109" s="29">
        <v>1.5671360305135688E8</v>
      </c>
      <c r="N109" s="31" t="s">
        <v>172</v>
      </c>
      <c r="O109" s="32"/>
      <c r="P109" s="33" t="str">
        <f t="array" ref="P109">IFERROR(
HYPERLINK(
"https://drive.google.com/file/d/"&amp;
XLOOKUP(O109,'Hoa-Don'!A:A,'Hoa-Don'!D:D)
&amp;"/view",
"🔎"
),
""
)</f>
        <v/>
      </c>
    </row>
    <row r="110" ht="22.5" customHeight="1">
      <c r="A110" s="21">
        <v>109.0</v>
      </c>
      <c r="B110" s="22">
        <v>42316.0</v>
      </c>
      <c r="C110" s="23">
        <v>62.0</v>
      </c>
      <c r="D110" s="24" t="s">
        <v>93</v>
      </c>
      <c r="E110" s="25" t="s">
        <v>11</v>
      </c>
      <c r="F110" s="26"/>
      <c r="G110" s="36" t="s">
        <v>42</v>
      </c>
      <c r="H110" s="28">
        <v>13330.0</v>
      </c>
      <c r="I110" s="28">
        <v>9941.04945394268</v>
      </c>
      <c r="J110" s="29">
        <v>1.3251418922105592E8</v>
      </c>
      <c r="K110" s="29">
        <v>9941.04945394268</v>
      </c>
      <c r="L110" s="30">
        <v>76883.7</v>
      </c>
      <c r="M110" s="29">
        <v>7.643046639020928E8</v>
      </c>
      <c r="N110" s="31" t="s">
        <v>173</v>
      </c>
      <c r="O110" s="32"/>
      <c r="P110" s="33" t="str">
        <f t="array" ref="P110">IFERROR(
HYPERLINK(
"https://drive.google.com/file/d/"&amp;
XLOOKUP(O110,'Hoa-Don'!A:A,'Hoa-Don'!D:D)
&amp;"/view",
"🔎"
),
""
)</f>
        <v/>
      </c>
    </row>
    <row r="111" ht="22.5" customHeight="1">
      <c r="A111" s="21">
        <v>110.0</v>
      </c>
      <c r="B111" s="22">
        <v>42319.0</v>
      </c>
      <c r="C111" s="23">
        <v>63.0</v>
      </c>
      <c r="D111" s="24" t="s">
        <v>174</v>
      </c>
      <c r="E111" s="35" t="s">
        <v>18</v>
      </c>
      <c r="F111" s="26"/>
      <c r="G111" s="36" t="s">
        <v>42</v>
      </c>
      <c r="H111" s="28">
        <v>1930.0</v>
      </c>
      <c r="I111" s="28">
        <v>7463.583211555734</v>
      </c>
      <c r="J111" s="29">
        <v>1.4404715598302567E7</v>
      </c>
      <c r="K111" s="29">
        <v>7463.583211555734</v>
      </c>
      <c r="L111" s="30">
        <v>19067.1</v>
      </c>
      <c r="M111" s="29">
        <v>1.4230888745305434E8</v>
      </c>
      <c r="N111" s="31" t="s">
        <v>175</v>
      </c>
      <c r="O111" s="32"/>
      <c r="P111" s="33" t="str">
        <f t="array" ref="P111">IFERROR(
HYPERLINK(
"https://drive.google.com/file/d/"&amp;
XLOOKUP(O111,'Hoa-Don'!A:A,'Hoa-Don'!D:D)
&amp;"/view",
"🔎"
),
""
)</f>
        <v/>
      </c>
    </row>
    <row r="112" ht="22.5" customHeight="1">
      <c r="A112" s="21">
        <v>111.0</v>
      </c>
      <c r="B112" s="22">
        <v>42320.0</v>
      </c>
      <c r="C112" s="23">
        <v>64.0</v>
      </c>
      <c r="D112" s="24" t="s">
        <v>174</v>
      </c>
      <c r="E112" s="25" t="s">
        <v>11</v>
      </c>
      <c r="F112" s="26"/>
      <c r="G112" s="36" t="s">
        <v>42</v>
      </c>
      <c r="H112" s="28">
        <v>1704.0</v>
      </c>
      <c r="I112" s="28">
        <v>9941.04945394268</v>
      </c>
      <c r="J112" s="29">
        <v>1.6939548269518327E7</v>
      </c>
      <c r="K112" s="29">
        <v>9941.04945394268</v>
      </c>
      <c r="L112" s="30">
        <v>75179.7</v>
      </c>
      <c r="M112" s="29">
        <v>7.473651156325744E8</v>
      </c>
      <c r="N112" s="31" t="s">
        <v>176</v>
      </c>
      <c r="O112" s="32"/>
      <c r="P112" s="33" t="str">
        <f t="array" ref="P112">IFERROR(
HYPERLINK(
"https://drive.google.com/file/d/"&amp;
XLOOKUP(O112,'Hoa-Don'!A:A,'Hoa-Don'!D:D)
&amp;"/view",
"🔎"
),
""
)</f>
        <v/>
      </c>
    </row>
    <row r="113" ht="22.5" customHeight="1">
      <c r="A113" s="21">
        <v>112.0</v>
      </c>
      <c r="B113" s="22">
        <v>42322.0</v>
      </c>
      <c r="C113" s="23">
        <v>1646.0</v>
      </c>
      <c r="D113" s="24" t="s">
        <v>69</v>
      </c>
      <c r="E113" s="35" t="s">
        <v>18</v>
      </c>
      <c r="F113" s="26"/>
      <c r="G113" s="27" t="s">
        <v>38</v>
      </c>
      <c r="H113" s="28">
        <v>5550.0</v>
      </c>
      <c r="I113" s="28">
        <v>6909.09</v>
      </c>
      <c r="J113" s="29">
        <v>3.83454495E7</v>
      </c>
      <c r="K113" s="29">
        <v>7338.571032049037</v>
      </c>
      <c r="L113" s="30">
        <v>24617.1</v>
      </c>
      <c r="M113" s="29">
        <v>1.8065433695305434E8</v>
      </c>
      <c r="N113" s="31" t="s">
        <v>177</v>
      </c>
      <c r="O113" s="32"/>
      <c r="P113" s="33" t="str">
        <f t="array" ref="P113">IFERROR(
HYPERLINK(
"https://drive.google.com/file/d/"&amp;
XLOOKUP(O113,'Hoa-Don'!A:A,'Hoa-Don'!D:D)
&amp;"/view",
"🔎"
),
""
)</f>
        <v/>
      </c>
    </row>
    <row r="114" ht="22.5" customHeight="1">
      <c r="A114" s="21">
        <v>113.0</v>
      </c>
      <c r="B114" s="22">
        <v>42326.0</v>
      </c>
      <c r="C114" s="23">
        <v>65.0</v>
      </c>
      <c r="D114" s="24" t="s">
        <v>93</v>
      </c>
      <c r="E114" s="25" t="s">
        <v>11</v>
      </c>
      <c r="F114" s="26"/>
      <c r="G114" s="36" t="s">
        <v>42</v>
      </c>
      <c r="H114" s="28">
        <v>2330.0</v>
      </c>
      <c r="I114" s="28">
        <v>9941.04945394268</v>
      </c>
      <c r="J114" s="29">
        <v>2.3162645227686446E7</v>
      </c>
      <c r="K114" s="29">
        <v>9941.04945394268</v>
      </c>
      <c r="L114" s="30">
        <v>72849.7</v>
      </c>
      <c r="M114" s="29">
        <v>7.24202470404888E8</v>
      </c>
      <c r="N114" s="31" t="s">
        <v>178</v>
      </c>
      <c r="O114" s="32"/>
      <c r="P114" s="33" t="str">
        <f t="array" ref="P114">IFERROR(
HYPERLINK(
"https://drive.google.com/file/d/"&amp;
XLOOKUP(O114,'Hoa-Don'!A:A,'Hoa-Don'!D:D)
&amp;"/view",
"🔎"
),
""
)</f>
        <v/>
      </c>
    </row>
    <row r="115" ht="22.5" customHeight="1">
      <c r="A115" s="21">
        <v>114.0</v>
      </c>
      <c r="B115" s="22">
        <v>42326.0</v>
      </c>
      <c r="C115" s="23">
        <v>65.0</v>
      </c>
      <c r="D115" s="24" t="s">
        <v>93</v>
      </c>
      <c r="E115" s="25" t="s">
        <v>11</v>
      </c>
      <c r="F115" s="26"/>
      <c r="G115" s="36" t="s">
        <v>42</v>
      </c>
      <c r="H115" s="28">
        <v>10332.0</v>
      </c>
      <c r="I115" s="28">
        <v>9941.04945394268</v>
      </c>
      <c r="J115" s="29">
        <v>1.0271092295813577E8</v>
      </c>
      <c r="K115" s="29">
        <v>9941.04945394268</v>
      </c>
      <c r="L115" s="30">
        <v>62517.7</v>
      </c>
      <c r="M115" s="29">
        <v>6.214915474467523E8</v>
      </c>
      <c r="N115" s="31" t="s">
        <v>179</v>
      </c>
      <c r="O115" s="32"/>
      <c r="P115" s="33" t="str">
        <f t="array" ref="P115">IFERROR(
HYPERLINK(
"https://drive.google.com/file/d/"&amp;
XLOOKUP(O115,'Hoa-Don'!A:A,'Hoa-Don'!D:D)
&amp;"/view",
"🔎"
),
""
)</f>
        <v/>
      </c>
    </row>
    <row r="116" ht="22.5" customHeight="1">
      <c r="A116" s="21">
        <v>115.0</v>
      </c>
      <c r="B116" s="22">
        <v>42329.0</v>
      </c>
      <c r="C116" s="23">
        <v>1164.0</v>
      </c>
      <c r="D116" s="24" t="s">
        <v>40</v>
      </c>
      <c r="E116" s="35" t="s">
        <v>18</v>
      </c>
      <c r="F116" s="26"/>
      <c r="G116" s="27" t="s">
        <v>38</v>
      </c>
      <c r="H116" s="28">
        <v>4030.0</v>
      </c>
      <c r="I116" s="28">
        <v>6818.18</v>
      </c>
      <c r="J116" s="29">
        <v>2.7477265400000002E7</v>
      </c>
      <c r="K116" s="29">
        <v>7265.363766421535</v>
      </c>
      <c r="L116" s="30">
        <v>28647.1</v>
      </c>
      <c r="M116" s="29">
        <v>2.0813160235305434E8</v>
      </c>
      <c r="N116" s="31" t="s">
        <v>180</v>
      </c>
      <c r="O116" s="32"/>
      <c r="P116" s="33" t="str">
        <f t="array" ref="P116">IFERROR(
HYPERLINK(
"https://drive.google.com/file/d/"&amp;
XLOOKUP(O116,'Hoa-Don'!A:A,'Hoa-Don'!D:D)
&amp;"/view",
"🔎"
),
""
)</f>
        <v/>
      </c>
    </row>
    <row r="117" ht="22.5" customHeight="1">
      <c r="A117" s="21">
        <v>116.0</v>
      </c>
      <c r="B117" s="22">
        <v>42329.0</v>
      </c>
      <c r="C117" s="23">
        <v>67.0</v>
      </c>
      <c r="D117" s="24" t="s">
        <v>63</v>
      </c>
      <c r="E117" s="35" t="s">
        <v>18</v>
      </c>
      <c r="F117" s="26"/>
      <c r="G117" s="36" t="s">
        <v>42</v>
      </c>
      <c r="H117" s="28">
        <v>532.0</v>
      </c>
      <c r="I117" s="28">
        <v>7265.363766421535</v>
      </c>
      <c r="J117" s="29">
        <v>3865173.5237362566</v>
      </c>
      <c r="K117" s="29">
        <v>7265.363766421535</v>
      </c>
      <c r="L117" s="30">
        <v>28115.1</v>
      </c>
      <c r="M117" s="29">
        <v>2.0426642882931808E8</v>
      </c>
      <c r="N117" s="31" t="s">
        <v>181</v>
      </c>
      <c r="O117" s="32"/>
      <c r="P117" s="33" t="str">
        <f t="array" ref="P117">IFERROR(
HYPERLINK(
"https://drive.google.com/file/d/"&amp;
XLOOKUP(O117,'Hoa-Don'!A:A,'Hoa-Don'!D:D)
&amp;"/view",
"🔎"
),
""
)</f>
        <v/>
      </c>
    </row>
    <row r="118" ht="22.5" customHeight="1">
      <c r="A118" s="21">
        <v>117.0</v>
      </c>
      <c r="B118" s="22">
        <v>42330.0</v>
      </c>
      <c r="C118" s="23">
        <v>68.0</v>
      </c>
      <c r="D118" s="24" t="s">
        <v>123</v>
      </c>
      <c r="E118" s="35" t="s">
        <v>18</v>
      </c>
      <c r="F118" s="26"/>
      <c r="G118" s="36" t="s">
        <v>42</v>
      </c>
      <c r="H118" s="28">
        <v>830.0</v>
      </c>
      <c r="I118" s="28">
        <v>7265.363766421535</v>
      </c>
      <c r="J118" s="29">
        <v>6030251.926129874</v>
      </c>
      <c r="K118" s="29">
        <v>7265.363766421535</v>
      </c>
      <c r="L118" s="30">
        <v>27285.1</v>
      </c>
      <c r="M118" s="29">
        <v>1.982361769031882E8</v>
      </c>
      <c r="N118" s="31" t="s">
        <v>182</v>
      </c>
      <c r="O118" s="32"/>
      <c r="P118" s="33" t="str">
        <f t="array" ref="P118">IFERROR(
HYPERLINK(
"https://drive.google.com/file/d/"&amp;
XLOOKUP(O118,'Hoa-Don'!A:A,'Hoa-Don'!D:D)
&amp;"/view",
"🔎"
),
""
)</f>
        <v/>
      </c>
    </row>
    <row r="119" ht="22.5" customHeight="1">
      <c r="A119" s="21">
        <v>118.0</v>
      </c>
      <c r="B119" s="22">
        <v>42331.0</v>
      </c>
      <c r="C119" s="23">
        <v>1345.0</v>
      </c>
      <c r="D119" s="24" t="s">
        <v>86</v>
      </c>
      <c r="E119" s="25" t="s">
        <v>11</v>
      </c>
      <c r="F119" s="26"/>
      <c r="G119" s="27" t="s">
        <v>38</v>
      </c>
      <c r="H119" s="28">
        <v>4470.0</v>
      </c>
      <c r="I119" s="28">
        <v>8545.45</v>
      </c>
      <c r="J119" s="29">
        <v>3.81981615E7</v>
      </c>
      <c r="K119" s="29">
        <v>9847.922961181715</v>
      </c>
      <c r="L119" s="30">
        <v>66987.7</v>
      </c>
      <c r="M119" s="29">
        <v>6.596897089467523E8</v>
      </c>
      <c r="N119" s="31" t="s">
        <v>183</v>
      </c>
      <c r="O119" s="32"/>
      <c r="P119" s="33" t="str">
        <f t="array" ref="P119">IFERROR(
HYPERLINK(
"https://drive.google.com/file/d/"&amp;
XLOOKUP(O119,'Hoa-Don'!A:A,'Hoa-Don'!D:D)
&amp;"/view",
"🔎"
),
""
)</f>
        <v/>
      </c>
    </row>
    <row r="120" ht="22.5" customHeight="1">
      <c r="A120" s="21">
        <v>119.0</v>
      </c>
      <c r="B120" s="22">
        <v>42333.0</v>
      </c>
      <c r="C120" s="23">
        <v>535.0</v>
      </c>
      <c r="D120" s="24" t="s">
        <v>71</v>
      </c>
      <c r="E120" s="25" t="s">
        <v>11</v>
      </c>
      <c r="F120" s="26"/>
      <c r="G120" s="27" t="s">
        <v>38</v>
      </c>
      <c r="H120" s="28">
        <v>2720.0</v>
      </c>
      <c r="I120" s="28">
        <v>8909.09</v>
      </c>
      <c r="J120" s="29">
        <v>2.42327248E7</v>
      </c>
      <c r="K120" s="29">
        <v>9811.289624342107</v>
      </c>
      <c r="L120" s="30">
        <v>69707.7</v>
      </c>
      <c r="M120" s="29">
        <v>6.839224337467523E8</v>
      </c>
      <c r="N120" s="31" t="s">
        <v>184</v>
      </c>
      <c r="O120" s="32"/>
      <c r="P120" s="33" t="str">
        <f t="array" ref="P120">IFERROR(
HYPERLINK(
"https://drive.google.com/file/d/"&amp;
XLOOKUP(O120,'Hoa-Don'!A:A,'Hoa-Don'!D:D)
&amp;"/view",
"🔎"
),
""
)</f>
        <v/>
      </c>
    </row>
    <row r="121" ht="22.5" customHeight="1">
      <c r="A121" s="21">
        <v>120.0</v>
      </c>
      <c r="B121" s="22">
        <v>42333.0</v>
      </c>
      <c r="C121" s="23">
        <v>535.0</v>
      </c>
      <c r="D121" s="24" t="s">
        <v>71</v>
      </c>
      <c r="E121" s="25" t="s">
        <v>11</v>
      </c>
      <c r="F121" s="26"/>
      <c r="G121" s="27" t="s">
        <v>38</v>
      </c>
      <c r="H121" s="28">
        <v>4800.0</v>
      </c>
      <c r="I121" s="28">
        <v>8909.09</v>
      </c>
      <c r="J121" s="29">
        <v>4.2763632E7</v>
      </c>
      <c r="K121" s="29">
        <v>9753.167333668229</v>
      </c>
      <c r="L121" s="30">
        <v>74507.7</v>
      </c>
      <c r="M121" s="29">
        <v>7.266860657467523E8</v>
      </c>
      <c r="N121" s="31" t="s">
        <v>185</v>
      </c>
      <c r="O121" s="32"/>
      <c r="P121" s="33" t="str">
        <f t="array" ref="P121">IFERROR(
HYPERLINK(
"https://drive.google.com/file/d/"&amp;
XLOOKUP(O121,'Hoa-Don'!A:A,'Hoa-Don'!D:D)
&amp;"/view",
"🔎"
),
""
)</f>
        <v/>
      </c>
    </row>
    <row r="122" ht="22.5" customHeight="1">
      <c r="A122" s="21">
        <v>121.0</v>
      </c>
      <c r="B122" s="22">
        <v>42333.0</v>
      </c>
      <c r="C122" s="23">
        <v>535.0</v>
      </c>
      <c r="D122" s="24" t="s">
        <v>71</v>
      </c>
      <c r="E122" s="35" t="s">
        <v>18</v>
      </c>
      <c r="F122" s="26"/>
      <c r="G122" s="27" t="s">
        <v>38</v>
      </c>
      <c r="H122" s="28">
        <v>1875.0</v>
      </c>
      <c r="I122" s="28">
        <v>7272.73</v>
      </c>
      <c r="J122" s="29">
        <v>1.363636875E7</v>
      </c>
      <c r="K122" s="29">
        <v>7265.837416647687</v>
      </c>
      <c r="L122" s="30">
        <v>29160.1</v>
      </c>
      <c r="M122" s="29">
        <v>2.118725456531882E8</v>
      </c>
      <c r="N122" s="31" t="s">
        <v>186</v>
      </c>
      <c r="O122" s="32"/>
      <c r="P122" s="33" t="str">
        <f t="array" ref="P122">IFERROR(
HYPERLINK(
"https://drive.google.com/file/d/"&amp;
XLOOKUP(O122,'Hoa-Don'!A:A,'Hoa-Don'!D:D)
&amp;"/view",
"🔎"
),
""
)</f>
        <v/>
      </c>
    </row>
    <row r="123" ht="22.5" customHeight="1">
      <c r="A123" s="21">
        <v>122.0</v>
      </c>
      <c r="B123" s="22">
        <v>42334.0</v>
      </c>
      <c r="C123" s="23">
        <v>69.0</v>
      </c>
      <c r="D123" s="24" t="s">
        <v>63</v>
      </c>
      <c r="E123" s="35" t="s">
        <v>18</v>
      </c>
      <c r="F123" s="26"/>
      <c r="G123" s="36" t="s">
        <v>42</v>
      </c>
      <c r="H123" s="28">
        <v>741.0</v>
      </c>
      <c r="I123" s="28">
        <v>7265.837416647687</v>
      </c>
      <c r="J123" s="29">
        <v>5383985.525735936</v>
      </c>
      <c r="K123" s="29">
        <v>7265.837416647687</v>
      </c>
      <c r="L123" s="30">
        <v>28419.1</v>
      </c>
      <c r="M123" s="29">
        <v>2.0648856012745228E8</v>
      </c>
      <c r="N123" s="31" t="s">
        <v>187</v>
      </c>
      <c r="O123" s="32"/>
      <c r="P123" s="33" t="str">
        <f t="array" ref="P123">IFERROR(
HYPERLINK(
"https://drive.google.com/file/d/"&amp;
XLOOKUP(O123,'Hoa-Don'!A:A,'Hoa-Don'!D:D)
&amp;"/view",
"🔎"
),
""
)</f>
        <v/>
      </c>
    </row>
    <row r="124" ht="22.5" customHeight="1">
      <c r="A124" s="21">
        <v>123.0</v>
      </c>
      <c r="B124" s="22">
        <v>42335.0</v>
      </c>
      <c r="C124" s="23">
        <v>1381.0</v>
      </c>
      <c r="D124" s="24" t="s">
        <v>86</v>
      </c>
      <c r="E124" s="25" t="s">
        <v>11</v>
      </c>
      <c r="F124" s="26"/>
      <c r="G124" s="27" t="s">
        <v>38</v>
      </c>
      <c r="H124" s="28">
        <v>6000.0</v>
      </c>
      <c r="I124" s="28">
        <v>8831.65</v>
      </c>
      <c r="J124" s="29">
        <v>5.29899E7</v>
      </c>
      <c r="K124" s="29">
        <v>9684.4893810996</v>
      </c>
      <c r="L124" s="30">
        <v>80507.7</v>
      </c>
      <c r="M124" s="29">
        <v>7.796759657467523E8</v>
      </c>
      <c r="N124" s="31" t="s">
        <v>188</v>
      </c>
      <c r="O124" s="32"/>
      <c r="P124" s="33" t="str">
        <f t="array" ref="P124">IFERROR(
HYPERLINK(
"https://drive.google.com/file/d/"&amp;
XLOOKUP(O124,'Hoa-Don'!A:A,'Hoa-Don'!D:D)
&amp;"/view",
"🔎"
),
""
)</f>
        <v/>
      </c>
    </row>
    <row r="125" ht="22.5" customHeight="1">
      <c r="A125" s="21">
        <v>124.0</v>
      </c>
      <c r="B125" s="22">
        <v>42335.0</v>
      </c>
      <c r="C125" s="23">
        <v>70.0</v>
      </c>
      <c r="D125" s="24" t="s">
        <v>63</v>
      </c>
      <c r="E125" s="35" t="s">
        <v>18</v>
      </c>
      <c r="F125" s="26"/>
      <c r="G125" s="36" t="s">
        <v>42</v>
      </c>
      <c r="H125" s="28">
        <v>952.0</v>
      </c>
      <c r="I125" s="28">
        <v>7265.837416647687</v>
      </c>
      <c r="J125" s="29">
        <v>6917077.220648598</v>
      </c>
      <c r="K125" s="29">
        <v>7265.837416647687</v>
      </c>
      <c r="L125" s="30">
        <v>27467.1</v>
      </c>
      <c r="M125" s="29">
        <v>1.9957148290680367E8</v>
      </c>
      <c r="N125" s="31" t="s">
        <v>189</v>
      </c>
      <c r="O125" s="32"/>
      <c r="P125" s="33" t="str">
        <f t="array" ref="P125">IFERROR(
HYPERLINK(
"https://drive.google.com/file/d/"&amp;
XLOOKUP(O125,'Hoa-Don'!A:A,'Hoa-Don'!D:D)
&amp;"/view",
"🔎"
),
""
)</f>
        <v/>
      </c>
    </row>
    <row r="126" ht="22.5" customHeight="1">
      <c r="A126" s="21">
        <v>125.0</v>
      </c>
      <c r="B126" s="22">
        <v>42336.0</v>
      </c>
      <c r="C126" s="23">
        <v>71.0</v>
      </c>
      <c r="D126" s="24" t="s">
        <v>93</v>
      </c>
      <c r="E126" s="37" t="s">
        <v>16</v>
      </c>
      <c r="F126" s="26"/>
      <c r="G126" s="36" t="s">
        <v>42</v>
      </c>
      <c r="H126" s="28">
        <v>300.0</v>
      </c>
      <c r="I126" s="28">
        <v>13566.691932864103</v>
      </c>
      <c r="J126" s="29">
        <v>4070007.579859231</v>
      </c>
      <c r="K126" s="29">
        <v>13566.691932864103</v>
      </c>
      <c r="L126" s="30">
        <v>5109.0</v>
      </c>
      <c r="M126" s="29">
        <v>6.93122290850027E7</v>
      </c>
      <c r="N126" s="31" t="s">
        <v>190</v>
      </c>
      <c r="O126" s="32"/>
      <c r="P126" s="33" t="str">
        <f t="array" ref="P126">IFERROR(
HYPERLINK(
"https://drive.google.com/file/d/"&amp;
XLOOKUP(O126,'Hoa-Don'!A:A,'Hoa-Don'!D:D)
&amp;"/view",
"🔎"
),
""
)</f>
        <v/>
      </c>
    </row>
    <row r="127" ht="22.5" customHeight="1">
      <c r="A127" s="21">
        <v>126.0</v>
      </c>
      <c r="B127" s="22">
        <v>42336.0</v>
      </c>
      <c r="C127" s="23">
        <v>71.0</v>
      </c>
      <c r="D127" s="24" t="s">
        <v>93</v>
      </c>
      <c r="E127" s="25" t="s">
        <v>11</v>
      </c>
      <c r="F127" s="26"/>
      <c r="G127" s="36" t="s">
        <v>42</v>
      </c>
      <c r="H127" s="28">
        <v>12000.0</v>
      </c>
      <c r="I127" s="28">
        <v>9684.4893810996</v>
      </c>
      <c r="J127" s="29">
        <v>1.162138725731952E8</v>
      </c>
      <c r="K127" s="29">
        <v>9684.4893810996</v>
      </c>
      <c r="L127" s="30">
        <v>68507.7</v>
      </c>
      <c r="M127" s="29">
        <v>6.63462093173557E8</v>
      </c>
      <c r="N127" s="31" t="s">
        <v>191</v>
      </c>
      <c r="O127" s="32"/>
      <c r="P127" s="33" t="str">
        <f t="array" ref="P127">IFERROR(
HYPERLINK(
"https://drive.google.com/file/d/"&amp;
XLOOKUP(O127,'Hoa-Don'!A:A,'Hoa-Don'!D:D)
&amp;"/view",
"🔎"
),
""
)</f>
        <v/>
      </c>
    </row>
    <row r="128" ht="22.5" customHeight="1">
      <c r="A128" s="21">
        <v>127.0</v>
      </c>
      <c r="B128" s="22">
        <v>42338.0</v>
      </c>
      <c r="C128" s="23">
        <v>72.0</v>
      </c>
      <c r="D128" s="24" t="s">
        <v>74</v>
      </c>
      <c r="E128" s="35" t="s">
        <v>18</v>
      </c>
      <c r="F128" s="26"/>
      <c r="G128" s="36" t="s">
        <v>42</v>
      </c>
      <c r="H128" s="28">
        <v>12546.0</v>
      </c>
      <c r="I128" s="28">
        <v>7265.837416647687</v>
      </c>
      <c r="J128" s="29">
        <v>9.115719622926188E7</v>
      </c>
      <c r="K128" s="29">
        <v>7265.837416647687</v>
      </c>
      <c r="L128" s="30">
        <v>14921.099999999999</v>
      </c>
      <c r="M128" s="29">
        <v>1.0841428667754179E8</v>
      </c>
      <c r="N128" s="31" t="s">
        <v>192</v>
      </c>
      <c r="O128" s="32"/>
      <c r="P128" s="33" t="str">
        <f t="array" ref="P128">IFERROR(
HYPERLINK(
"https://drive.google.com/file/d/"&amp;
XLOOKUP(O128,'Hoa-Don'!A:A,'Hoa-Don'!D:D)
&amp;"/view",
"🔎"
),
""
)</f>
        <v/>
      </c>
    </row>
    <row r="129" ht="22.5" customHeight="1">
      <c r="A129" s="21">
        <v>128.0</v>
      </c>
      <c r="B129" s="22">
        <v>42338.0</v>
      </c>
      <c r="C129" s="23">
        <v>73.0</v>
      </c>
      <c r="D129" s="24" t="s">
        <v>63</v>
      </c>
      <c r="E129" s="35" t="s">
        <v>18</v>
      </c>
      <c r="F129" s="26"/>
      <c r="G129" s="36" t="s">
        <v>42</v>
      </c>
      <c r="H129" s="28">
        <v>59.5</v>
      </c>
      <c r="I129" s="28">
        <v>7265.837416647687</v>
      </c>
      <c r="J129" s="29">
        <v>432317.32629053737</v>
      </c>
      <c r="K129" s="29">
        <v>7265.837416647687</v>
      </c>
      <c r="L129" s="30">
        <v>14861.599999999999</v>
      </c>
      <c r="M129" s="29">
        <v>1.0798196935125126E8</v>
      </c>
      <c r="N129" s="31" t="s">
        <v>193</v>
      </c>
      <c r="O129" s="32"/>
      <c r="P129" s="33" t="str">
        <f t="array" ref="P129">IFERROR(
HYPERLINK(
"https://drive.google.com/file/d/"&amp;
XLOOKUP(O129,'Hoa-Don'!A:A,'Hoa-Don'!D:D)
&amp;"/view",
"🔎"
),
""
)</f>
        <v/>
      </c>
    </row>
    <row r="130" ht="22.5" customHeight="1">
      <c r="A130" s="21">
        <v>129.0</v>
      </c>
      <c r="B130" s="22">
        <v>42338.0</v>
      </c>
      <c r="C130" s="23">
        <v>73.0</v>
      </c>
      <c r="D130" s="24" t="s">
        <v>63</v>
      </c>
      <c r="E130" s="25" t="s">
        <v>11</v>
      </c>
      <c r="F130" s="26"/>
      <c r="G130" s="36" t="s">
        <v>42</v>
      </c>
      <c r="H130" s="28">
        <v>147.0</v>
      </c>
      <c r="I130" s="28">
        <v>9684.4893810996</v>
      </c>
      <c r="J130" s="29">
        <v>1423619.9390216412</v>
      </c>
      <c r="K130" s="29">
        <v>9684.4893810996</v>
      </c>
      <c r="L130" s="30">
        <v>68360.7</v>
      </c>
      <c r="M130" s="29">
        <v>6.620384732345355E8</v>
      </c>
      <c r="N130" s="31" t="s">
        <v>194</v>
      </c>
      <c r="O130" s="32"/>
      <c r="P130" s="33" t="str">
        <f t="array" ref="P130">IFERROR(
HYPERLINK(
"https://drive.google.com/file/d/"&amp;
XLOOKUP(O130,'Hoa-Don'!A:A,'Hoa-Don'!D:D)
&amp;"/view",
"🔎"
),
""
)</f>
        <v/>
      </c>
    </row>
    <row r="131" ht="22.5" customHeight="1">
      <c r="A131" s="21">
        <v>130.0</v>
      </c>
      <c r="B131" s="22">
        <v>42339.0</v>
      </c>
      <c r="C131" s="23">
        <v>74.0</v>
      </c>
      <c r="D131" s="24" t="s">
        <v>93</v>
      </c>
      <c r="E131" s="25" t="s">
        <v>11</v>
      </c>
      <c r="F131" s="26"/>
      <c r="G131" s="36" t="s">
        <v>42</v>
      </c>
      <c r="H131" s="28">
        <v>14550.5</v>
      </c>
      <c r="I131" s="28">
        <v>9684.4893810996</v>
      </c>
      <c r="J131" s="29">
        <v>1.4091416273968974E8</v>
      </c>
      <c r="K131" s="29">
        <v>9684.4893810996</v>
      </c>
      <c r="L131" s="30">
        <v>53810.2</v>
      </c>
      <c r="M131" s="29">
        <v>5.211243104948457E8</v>
      </c>
      <c r="N131" s="31" t="s">
        <v>195</v>
      </c>
      <c r="O131" s="32"/>
      <c r="P131" s="33" t="str">
        <f t="array" ref="P131">IFERROR(
HYPERLINK(
"https://drive.google.com/file/d/"&amp;
XLOOKUP(O131,'Hoa-Don'!A:A,'Hoa-Don'!D:D)
&amp;"/view",
"🔎"
),
""
)</f>
        <v/>
      </c>
    </row>
    <row r="132" ht="22.5" customHeight="1">
      <c r="A132" s="21">
        <v>131.0</v>
      </c>
      <c r="B132" s="22">
        <v>42340.0</v>
      </c>
      <c r="C132" s="23">
        <v>919.0</v>
      </c>
      <c r="D132" s="24" t="s">
        <v>81</v>
      </c>
      <c r="E132" s="25" t="s">
        <v>11</v>
      </c>
      <c r="F132" s="26"/>
      <c r="G132" s="27" t="s">
        <v>38</v>
      </c>
      <c r="H132" s="28">
        <v>1500.0</v>
      </c>
      <c r="I132" s="28">
        <v>9090.91</v>
      </c>
      <c r="J132" s="29">
        <v>1.3636365E7</v>
      </c>
      <c r="K132" s="29">
        <v>9668.391643762736</v>
      </c>
      <c r="L132" s="30">
        <v>55310.2</v>
      </c>
      <c r="M132" s="29">
        <v>5.347606754948457E8</v>
      </c>
      <c r="N132" s="31" t="s">
        <v>196</v>
      </c>
      <c r="O132" s="32"/>
      <c r="P132" s="33" t="str">
        <f t="array" ref="P132">IFERROR(
HYPERLINK(
"https://drive.google.com/file/d/"&amp;
XLOOKUP(O132,'Hoa-Don'!A:A,'Hoa-Don'!D:D)
&amp;"/view",
"🔎"
),
""
)</f>
        <v/>
      </c>
    </row>
    <row r="133" ht="22.5" customHeight="1">
      <c r="A133" s="21">
        <v>132.0</v>
      </c>
      <c r="B133" s="22">
        <v>42340.0</v>
      </c>
      <c r="C133" s="23">
        <v>75.0</v>
      </c>
      <c r="D133" s="24" t="s">
        <v>74</v>
      </c>
      <c r="E133" s="25" t="s">
        <v>11</v>
      </c>
      <c r="F133" s="26"/>
      <c r="G133" s="36" t="s">
        <v>42</v>
      </c>
      <c r="H133" s="28">
        <v>1271.5</v>
      </c>
      <c r="I133" s="28">
        <v>9668.391643762736</v>
      </c>
      <c r="J133" s="29">
        <v>1.229335997504432E7</v>
      </c>
      <c r="K133" s="29">
        <v>9668.391643762736</v>
      </c>
      <c r="L133" s="30">
        <v>54038.7</v>
      </c>
      <c r="M133" s="29">
        <v>5.224673155198013E8</v>
      </c>
      <c r="N133" s="31" t="s">
        <v>197</v>
      </c>
      <c r="O133" s="32"/>
      <c r="P133" s="33" t="str">
        <f t="array" ref="P133">IFERROR(
HYPERLINK(
"https://drive.google.com/file/d/"&amp;
XLOOKUP(O133,'Hoa-Don'!A:A,'Hoa-Don'!D:D)
&amp;"/view",
"🔎"
),
""
)</f>
        <v/>
      </c>
    </row>
    <row r="134" ht="22.5" customHeight="1">
      <c r="A134" s="21">
        <v>133.0</v>
      </c>
      <c r="B134" s="22">
        <v>42341.0</v>
      </c>
      <c r="C134" s="23">
        <v>76.0</v>
      </c>
      <c r="D134" s="24" t="s">
        <v>74</v>
      </c>
      <c r="E134" s="25" t="s">
        <v>11</v>
      </c>
      <c r="F134" s="26"/>
      <c r="G134" s="36" t="s">
        <v>42</v>
      </c>
      <c r="H134" s="28">
        <v>1537.5</v>
      </c>
      <c r="I134" s="28">
        <v>9668.391643762736</v>
      </c>
      <c r="J134" s="29">
        <v>1.4865152152285207E7</v>
      </c>
      <c r="K134" s="29">
        <v>9668.391643762736</v>
      </c>
      <c r="L134" s="30">
        <v>52501.2</v>
      </c>
      <c r="M134" s="29">
        <v>5.076021633675161E8</v>
      </c>
      <c r="N134" s="31" t="s">
        <v>198</v>
      </c>
      <c r="O134" s="32"/>
      <c r="P134" s="33" t="str">
        <f t="array" ref="P134">IFERROR(
HYPERLINK(
"https://drive.google.com/file/d/"&amp;
XLOOKUP(O134,'Hoa-Don'!A:A,'Hoa-Don'!D:D)
&amp;"/view",
"🔎"
),
""
)</f>
        <v/>
      </c>
    </row>
    <row r="135" ht="22.5" customHeight="1">
      <c r="A135" s="21">
        <v>134.0</v>
      </c>
      <c r="B135" s="22">
        <v>42343.0</v>
      </c>
      <c r="C135" s="23">
        <v>925.0</v>
      </c>
      <c r="D135" s="24" t="s">
        <v>81</v>
      </c>
      <c r="E135" s="25" t="s">
        <v>11</v>
      </c>
      <c r="F135" s="26"/>
      <c r="G135" s="27" t="s">
        <v>38</v>
      </c>
      <c r="H135" s="28">
        <v>840.0</v>
      </c>
      <c r="I135" s="28">
        <v>9090.91</v>
      </c>
      <c r="J135" s="29">
        <v>7636364.399999999</v>
      </c>
      <c r="K135" s="29">
        <v>9659.297649237664</v>
      </c>
      <c r="L135" s="30">
        <v>53341.2</v>
      </c>
      <c r="M135" s="29">
        <v>5.152385277675161E8</v>
      </c>
      <c r="N135" s="31" t="s">
        <v>199</v>
      </c>
      <c r="O135" s="32"/>
      <c r="P135" s="33" t="str">
        <f t="array" ref="P135">IFERROR(
HYPERLINK(
"https://drive.google.com/file/d/"&amp;
XLOOKUP(O135,'Hoa-Don'!A:A,'Hoa-Don'!D:D)
&amp;"/view",
"🔎"
),
""
)</f>
        <v/>
      </c>
    </row>
    <row r="136" ht="22.5" customHeight="1">
      <c r="A136" s="21">
        <v>135.0</v>
      </c>
      <c r="B136" s="22">
        <v>42347.0</v>
      </c>
      <c r="C136" s="23">
        <v>1510.0</v>
      </c>
      <c r="D136" s="24" t="s">
        <v>86</v>
      </c>
      <c r="E136" s="35" t="s">
        <v>18</v>
      </c>
      <c r="F136" s="26"/>
      <c r="G136" s="27" t="s">
        <v>38</v>
      </c>
      <c r="H136" s="28">
        <v>5400.0</v>
      </c>
      <c r="I136" s="28">
        <v>7272.73</v>
      </c>
      <c r="J136" s="29">
        <v>3.9272742E7</v>
      </c>
      <c r="K136" s="29">
        <v>7267.674386586018</v>
      </c>
      <c r="L136" s="30">
        <v>20261.6</v>
      </c>
      <c r="M136" s="29">
        <v>1.4725471135125124E8</v>
      </c>
      <c r="N136" s="31" t="s">
        <v>200</v>
      </c>
      <c r="O136" s="32"/>
      <c r="P136" s="33" t="str">
        <f t="array" ref="P136">IFERROR(
HYPERLINK(
"https://drive.google.com/file/d/"&amp;
XLOOKUP(O136,'Hoa-Don'!A:A,'Hoa-Don'!D:D)
&amp;"/view",
"🔎"
),
""
)</f>
        <v/>
      </c>
    </row>
    <row r="137" ht="22.5" customHeight="1">
      <c r="A137" s="21">
        <v>136.0</v>
      </c>
      <c r="B137" s="22">
        <v>42352.0</v>
      </c>
      <c r="C137" s="23">
        <v>453.0</v>
      </c>
      <c r="D137" s="24" t="s">
        <v>84</v>
      </c>
      <c r="E137" s="35" t="s">
        <v>18</v>
      </c>
      <c r="F137" s="26"/>
      <c r="G137" s="27" t="s">
        <v>38</v>
      </c>
      <c r="H137" s="28">
        <v>4890.0</v>
      </c>
      <c r="I137" s="28">
        <v>7181.82</v>
      </c>
      <c r="J137" s="29">
        <v>3.51190998E7</v>
      </c>
      <c r="K137" s="29">
        <v>7250.982488241355</v>
      </c>
      <c r="L137" s="30">
        <v>25151.6</v>
      </c>
      <c r="M137" s="29">
        <v>1.8237381115125126E8</v>
      </c>
      <c r="N137" s="31" t="s">
        <v>201</v>
      </c>
      <c r="O137" s="32"/>
      <c r="P137" s="33" t="str">
        <f t="array" ref="P137">IFERROR(
HYPERLINK(
"https://drive.google.com/file/d/"&amp;
XLOOKUP(O137,'Hoa-Don'!A:A,'Hoa-Don'!D:D)
&amp;"/view",
"🔎"
),
""
)</f>
        <v/>
      </c>
    </row>
    <row r="138" ht="22.5" customHeight="1">
      <c r="A138" s="21">
        <v>137.0</v>
      </c>
      <c r="B138" s="22">
        <v>42357.0</v>
      </c>
      <c r="C138" s="23">
        <v>1070.0</v>
      </c>
      <c r="D138" s="24" t="s">
        <v>81</v>
      </c>
      <c r="E138" s="25" t="s">
        <v>11</v>
      </c>
      <c r="F138" s="26"/>
      <c r="G138" s="27" t="s">
        <v>38</v>
      </c>
      <c r="H138" s="28">
        <v>1276.0</v>
      </c>
      <c r="I138" s="28">
        <v>9090.91</v>
      </c>
      <c r="J138" s="29">
        <v>1.160000116E7</v>
      </c>
      <c r="K138" s="29">
        <v>9646.0186338281</v>
      </c>
      <c r="L138" s="30">
        <v>54617.2</v>
      </c>
      <c r="M138" s="29">
        <v>5.268385289275161E8</v>
      </c>
      <c r="N138" s="31" t="s">
        <v>202</v>
      </c>
      <c r="O138" s="32"/>
      <c r="P138" s="33" t="str">
        <f t="array" ref="P138">IFERROR(
HYPERLINK(
"https://drive.google.com/file/d/"&amp;
XLOOKUP(O138,'Hoa-Don'!A:A,'Hoa-Don'!D:D)
&amp;"/view",
"🔎"
),
""
)</f>
        <v/>
      </c>
    </row>
    <row r="139" ht="22.5" customHeight="1">
      <c r="A139" s="21">
        <v>138.0</v>
      </c>
      <c r="B139" s="22">
        <v>42359.0</v>
      </c>
      <c r="C139" s="23">
        <v>1597.0</v>
      </c>
      <c r="D139" s="24" t="s">
        <v>86</v>
      </c>
      <c r="E139" s="35" t="s">
        <v>18</v>
      </c>
      <c r="F139" s="26"/>
      <c r="G139" s="27" t="s">
        <v>38</v>
      </c>
      <c r="H139" s="28">
        <v>6764.0</v>
      </c>
      <c r="I139" s="28">
        <v>6818.18</v>
      </c>
      <c r="J139" s="29">
        <v>4.611816952E7</v>
      </c>
      <c r="K139" s="29">
        <v>7159.256936145686</v>
      </c>
      <c r="L139" s="30">
        <v>31915.6</v>
      </c>
      <c r="M139" s="29">
        <v>2.2849198067125127E8</v>
      </c>
      <c r="N139" s="31" t="s">
        <v>203</v>
      </c>
      <c r="O139" s="32"/>
      <c r="P139" s="33" t="str">
        <f t="array" ref="P139">IFERROR(
HYPERLINK(
"https://drive.google.com/file/d/"&amp;
XLOOKUP(O139,'Hoa-Don'!A:A,'Hoa-Don'!D:D)
&amp;"/view",
"🔎"
),
""
)</f>
        <v/>
      </c>
    </row>
    <row r="140" ht="22.5" customHeight="1">
      <c r="A140" s="21">
        <v>139.0</v>
      </c>
      <c r="B140" s="22">
        <v>42360.0</v>
      </c>
      <c r="C140" s="23">
        <v>1617.0</v>
      </c>
      <c r="D140" s="24" t="s">
        <v>86</v>
      </c>
      <c r="E140" s="35" t="s">
        <v>18</v>
      </c>
      <c r="F140" s="26"/>
      <c r="G140" s="27" t="s">
        <v>38</v>
      </c>
      <c r="H140" s="28">
        <v>8550.0</v>
      </c>
      <c r="I140" s="28">
        <v>7000.0</v>
      </c>
      <c r="J140" s="29">
        <v>5.985E7</v>
      </c>
      <c r="K140" s="29">
        <v>7125.607446108579</v>
      </c>
      <c r="L140" s="30">
        <v>40465.6</v>
      </c>
      <c r="M140" s="29">
        <v>2.883419806712513E8</v>
      </c>
      <c r="N140" s="31" t="s">
        <v>204</v>
      </c>
      <c r="O140" s="32"/>
      <c r="P140" s="33" t="str">
        <f t="array" ref="P140">IFERROR(
HYPERLINK(
"https://drive.google.com/file/d/"&amp;
XLOOKUP(O140,'Hoa-Don'!A:A,'Hoa-Don'!D:D)
&amp;"/view",
"🔎"
),
""
)</f>
        <v/>
      </c>
    </row>
    <row r="141" ht="22.5" customHeight="1">
      <c r="A141" s="21">
        <v>140.0</v>
      </c>
      <c r="B141" s="22">
        <v>42361.0</v>
      </c>
      <c r="C141" s="23">
        <v>1636.0</v>
      </c>
      <c r="D141" s="24" t="s">
        <v>86</v>
      </c>
      <c r="E141" s="35" t="s">
        <v>18</v>
      </c>
      <c r="F141" s="26"/>
      <c r="G141" s="27" t="s">
        <v>38</v>
      </c>
      <c r="H141" s="28">
        <v>4940.0</v>
      </c>
      <c r="I141" s="28">
        <v>7000.0</v>
      </c>
      <c r="J141" s="29">
        <v>3.458E7</v>
      </c>
      <c r="K141" s="29">
        <v>7111.941713604739</v>
      </c>
      <c r="L141" s="30">
        <v>45405.6</v>
      </c>
      <c r="M141" s="29">
        <v>3.229219806712513E8</v>
      </c>
      <c r="N141" s="31" t="s">
        <v>205</v>
      </c>
      <c r="O141" s="32"/>
      <c r="P141" s="33" t="str">
        <f t="array" ref="P141">IFERROR(
HYPERLINK(
"https://drive.google.com/file/d/"&amp;
XLOOKUP(O141,'Hoa-Don'!A:A,'Hoa-Don'!D:D)
&amp;"/view",
"🔎"
),
""
)</f>
        <v/>
      </c>
    </row>
    <row r="142" ht="22.5" customHeight="1">
      <c r="A142" s="21">
        <v>141.0</v>
      </c>
      <c r="B142" s="22">
        <v>42362.0</v>
      </c>
      <c r="C142" s="23">
        <v>1082.0</v>
      </c>
      <c r="D142" s="24" t="s">
        <v>81</v>
      </c>
      <c r="E142" s="25" t="s">
        <v>11</v>
      </c>
      <c r="F142" s="26"/>
      <c r="G142" s="27" t="s">
        <v>38</v>
      </c>
      <c r="H142" s="28">
        <v>1500.0</v>
      </c>
      <c r="I142" s="28">
        <v>9090.91</v>
      </c>
      <c r="J142" s="29">
        <v>1.3636365E7</v>
      </c>
      <c r="K142" s="29">
        <v>9631.180706227611</v>
      </c>
      <c r="L142" s="30">
        <v>56117.2</v>
      </c>
      <c r="M142" s="29">
        <v>5.404748939275161E8</v>
      </c>
      <c r="N142" s="31" t="s">
        <v>206</v>
      </c>
      <c r="O142" s="32"/>
      <c r="P142" s="33" t="str">
        <f t="array" ref="P142">IFERROR(
HYPERLINK(
"https://drive.google.com/file/d/"&amp;
XLOOKUP(O142,'Hoa-Don'!A:A,'Hoa-Don'!D:D)
&amp;"/view",
"🔎"
),
""
)</f>
        <v/>
      </c>
    </row>
    <row r="143" ht="22.5" customHeight="1">
      <c r="A143" s="21">
        <v>142.0</v>
      </c>
      <c r="B143" s="22">
        <v>42363.0</v>
      </c>
      <c r="C143" s="23">
        <v>78.0</v>
      </c>
      <c r="D143" s="24" t="s">
        <v>93</v>
      </c>
      <c r="E143" s="35" t="s">
        <v>18</v>
      </c>
      <c r="F143" s="26"/>
      <c r="G143" s="36" t="s">
        <v>42</v>
      </c>
      <c r="H143" s="28">
        <v>1870.0</v>
      </c>
      <c r="I143" s="28">
        <v>7111.941713604739</v>
      </c>
      <c r="J143" s="29">
        <v>1.329933100444086E7</v>
      </c>
      <c r="K143" s="29">
        <v>7111.941713604739</v>
      </c>
      <c r="L143" s="30">
        <v>43535.6</v>
      </c>
      <c r="M143" s="29">
        <v>3.0962264966681045E8</v>
      </c>
      <c r="N143" s="31" t="s">
        <v>207</v>
      </c>
      <c r="O143" s="32"/>
      <c r="P143" s="33" t="str">
        <f t="array" ref="P143">IFERROR(
HYPERLINK(
"https://drive.google.com/file/d/"&amp;
XLOOKUP(O143,'Hoa-Don'!A:A,'Hoa-Don'!D:D)
&amp;"/view",
"🔎"
),
""
)</f>
        <v/>
      </c>
    </row>
    <row r="144" ht="22.5" customHeight="1">
      <c r="A144" s="21">
        <v>143.0</v>
      </c>
      <c r="B144" s="22">
        <v>42363.0</v>
      </c>
      <c r="C144" s="23">
        <v>78.0</v>
      </c>
      <c r="D144" s="24" t="s">
        <v>93</v>
      </c>
      <c r="E144" s="25" t="s">
        <v>11</v>
      </c>
      <c r="F144" s="26"/>
      <c r="G144" s="36" t="s">
        <v>42</v>
      </c>
      <c r="H144" s="28">
        <v>2720.0</v>
      </c>
      <c r="I144" s="28">
        <v>9631.180706227611</v>
      </c>
      <c r="J144" s="29">
        <v>2.61968115209391E7</v>
      </c>
      <c r="K144" s="29">
        <v>9631.180706227611</v>
      </c>
      <c r="L144" s="30">
        <v>53397.2</v>
      </c>
      <c r="M144" s="29">
        <v>5.14278082406577E8</v>
      </c>
      <c r="N144" s="31" t="s">
        <v>208</v>
      </c>
      <c r="O144" s="32"/>
      <c r="P144" s="33" t="str">
        <f t="array" ref="P144">IFERROR(
HYPERLINK(
"https://drive.google.com/file/d/"&amp;
XLOOKUP(O144,'Hoa-Don'!A:A,'Hoa-Don'!D:D)
&amp;"/view",
"🔎"
),
""
)</f>
        <v/>
      </c>
    </row>
    <row r="145" ht="22.5" customHeight="1">
      <c r="A145" s="21">
        <v>144.0</v>
      </c>
      <c r="B145" s="22">
        <v>42363.0</v>
      </c>
      <c r="C145" s="23">
        <v>78.0</v>
      </c>
      <c r="D145" s="24" t="s">
        <v>93</v>
      </c>
      <c r="E145" s="25" t="s">
        <v>11</v>
      </c>
      <c r="F145" s="26"/>
      <c r="G145" s="36" t="s">
        <v>42</v>
      </c>
      <c r="H145" s="28">
        <v>4800.0</v>
      </c>
      <c r="I145" s="28">
        <v>9631.180706227611</v>
      </c>
      <c r="J145" s="29">
        <v>4.622966738989253E7</v>
      </c>
      <c r="K145" s="29">
        <v>9631.180706227611</v>
      </c>
      <c r="L145" s="30">
        <v>48597.2</v>
      </c>
      <c r="M145" s="29">
        <v>4.680484150166844E8</v>
      </c>
      <c r="N145" s="31" t="s">
        <v>209</v>
      </c>
      <c r="O145" s="32"/>
      <c r="P145" s="33" t="str">
        <f t="array" ref="P145">IFERROR(
HYPERLINK(
"https://drive.google.com/file/d/"&amp;
XLOOKUP(O145,'Hoa-Don'!A:A,'Hoa-Don'!D:D)
&amp;"/view",
"🔎"
),
""
)</f>
        <v/>
      </c>
    </row>
    <row r="146" ht="22.5" customHeight="1">
      <c r="A146" s="21">
        <v>145.0</v>
      </c>
      <c r="B146" s="22">
        <v>42364.0</v>
      </c>
      <c r="C146" s="23">
        <v>79.0</v>
      </c>
      <c r="D146" s="24" t="s">
        <v>74</v>
      </c>
      <c r="E146" s="35" t="s">
        <v>18</v>
      </c>
      <c r="F146" s="26"/>
      <c r="G146" s="36" t="s">
        <v>42</v>
      </c>
      <c r="H146" s="28">
        <v>15961.0</v>
      </c>
      <c r="I146" s="28">
        <v>7111.941713604739</v>
      </c>
      <c r="J146" s="29">
        <v>1.1351370169084524E8</v>
      </c>
      <c r="K146" s="29">
        <v>7111.941713604739</v>
      </c>
      <c r="L146" s="30">
        <v>27574.6</v>
      </c>
      <c r="M146" s="29">
        <v>1.961089479759652E8</v>
      </c>
      <c r="N146" s="31" t="s">
        <v>210</v>
      </c>
      <c r="O146" s="32"/>
      <c r="P146" s="33" t="str">
        <f t="array" ref="P146">IFERROR(
HYPERLINK(
"https://drive.google.com/file/d/"&amp;
XLOOKUP(O146,'Hoa-Don'!A:A,'Hoa-Don'!D:D)
&amp;"/view",
"🔎"
),
""
)</f>
        <v/>
      </c>
    </row>
    <row r="147" ht="22.5" customHeight="1">
      <c r="A147" s="21">
        <v>146.0</v>
      </c>
      <c r="B147" s="22">
        <v>42374.0</v>
      </c>
      <c r="C147" s="23">
        <v>80.0</v>
      </c>
      <c r="D147" s="24" t="s">
        <v>63</v>
      </c>
      <c r="E147" s="35" t="s">
        <v>18</v>
      </c>
      <c r="F147" s="26"/>
      <c r="G147" s="36" t="s">
        <v>42</v>
      </c>
      <c r="H147" s="28">
        <v>612.5</v>
      </c>
      <c r="I147" s="28">
        <v>7111.941713604739</v>
      </c>
      <c r="J147" s="29">
        <v>4356064.299582902</v>
      </c>
      <c r="K147" s="29">
        <v>7111.941713604739</v>
      </c>
      <c r="L147" s="30">
        <v>26962.1</v>
      </c>
      <c r="M147" s="29">
        <v>1.917528836763823E8</v>
      </c>
      <c r="N147" s="31" t="s">
        <v>211</v>
      </c>
      <c r="O147" s="32"/>
      <c r="P147" s="33" t="str">
        <f t="array" ref="P147">IFERROR(
HYPERLINK(
"https://drive.google.com/file/d/"&amp;
XLOOKUP(O147,'Hoa-Don'!A:A,'Hoa-Don'!D:D)
&amp;"/view",
"🔎"
),
""
)</f>
        <v/>
      </c>
    </row>
    <row r="148" ht="22.5" customHeight="1">
      <c r="A148" s="21">
        <v>147.0</v>
      </c>
      <c r="B148" s="22">
        <v>42375.0</v>
      </c>
      <c r="C148" s="23">
        <v>838.0</v>
      </c>
      <c r="D148" s="24" t="s">
        <v>71</v>
      </c>
      <c r="E148" s="25" t="s">
        <v>11</v>
      </c>
      <c r="F148" s="26"/>
      <c r="G148" s="27" t="s">
        <v>38</v>
      </c>
      <c r="H148" s="28">
        <v>1129.0</v>
      </c>
      <c r="I148" s="28">
        <v>8181.82</v>
      </c>
      <c r="J148" s="29">
        <v>9237274.78</v>
      </c>
      <c r="K148" s="29">
        <v>9598.273944051312</v>
      </c>
      <c r="L148" s="30">
        <v>49726.2</v>
      </c>
      <c r="M148" s="29">
        <v>4.772856897966844E8</v>
      </c>
      <c r="N148" s="31" t="s">
        <v>212</v>
      </c>
      <c r="O148" s="32"/>
      <c r="P148" s="33" t="str">
        <f t="array" ref="P148">IFERROR(
HYPERLINK(
"https://drive.google.com/file/d/"&amp;
XLOOKUP(O148,'Hoa-Don'!A:A,'Hoa-Don'!D:D)
&amp;"/view",
"🔎"
),
""
)</f>
        <v/>
      </c>
    </row>
    <row r="149" ht="22.5" customHeight="1">
      <c r="A149" s="21">
        <v>148.0</v>
      </c>
      <c r="B149" s="22">
        <v>42375.0</v>
      </c>
      <c r="C149" s="23">
        <v>838.0</v>
      </c>
      <c r="D149" s="24" t="s">
        <v>71</v>
      </c>
      <c r="E149" s="25" t="s">
        <v>11</v>
      </c>
      <c r="F149" s="26"/>
      <c r="G149" s="27" t="s">
        <v>38</v>
      </c>
      <c r="H149" s="28">
        <v>2061.0</v>
      </c>
      <c r="I149" s="28">
        <v>9363.64</v>
      </c>
      <c r="J149" s="29">
        <v>1.929846204E7</v>
      </c>
      <c r="K149" s="29">
        <v>9588.936104610491</v>
      </c>
      <c r="L149" s="30">
        <v>51787.2</v>
      </c>
      <c r="M149" s="29">
        <v>4.965841518366844E8</v>
      </c>
      <c r="N149" s="31" t="s">
        <v>213</v>
      </c>
      <c r="O149" s="32"/>
      <c r="P149" s="33" t="str">
        <f t="array" ref="P149">IFERROR(
HYPERLINK(
"https://drive.google.com/file/d/"&amp;
XLOOKUP(O149,'Hoa-Don'!A:A,'Hoa-Don'!D:D)
&amp;"/view",
"🔎"
),
""
)</f>
        <v/>
      </c>
    </row>
    <row r="150" ht="22.5" customHeight="1">
      <c r="A150" s="21">
        <v>149.0</v>
      </c>
      <c r="B150" s="22">
        <v>42375.0</v>
      </c>
      <c r="C150" s="23">
        <v>838.0</v>
      </c>
      <c r="D150" s="24" t="s">
        <v>71</v>
      </c>
      <c r="E150" s="25" t="s">
        <v>11</v>
      </c>
      <c r="F150" s="26"/>
      <c r="G150" s="27" t="s">
        <v>38</v>
      </c>
      <c r="H150" s="28">
        <v>3220.0</v>
      </c>
      <c r="I150" s="28">
        <v>8454.55</v>
      </c>
      <c r="J150" s="29">
        <v>2.7223650999999996E7</v>
      </c>
      <c r="K150" s="29">
        <v>9522.531647433143</v>
      </c>
      <c r="L150" s="30">
        <v>55007.2</v>
      </c>
      <c r="M150" s="29">
        <v>5.238078028366844E8</v>
      </c>
      <c r="N150" s="31" t="s">
        <v>214</v>
      </c>
      <c r="O150" s="32"/>
      <c r="P150" s="33" t="str">
        <f t="array" ref="P150">IFERROR(
HYPERLINK(
"https://drive.google.com/file/d/"&amp;
XLOOKUP(O150,'Hoa-Don'!A:A,'Hoa-Don'!D:D)
&amp;"/view",
"🔎"
),
""
)</f>
        <v/>
      </c>
    </row>
    <row r="151" ht="22.5" customHeight="1">
      <c r="A151" s="21">
        <v>150.0</v>
      </c>
      <c r="B151" s="22">
        <v>42375.0</v>
      </c>
      <c r="C151" s="23">
        <v>81.0</v>
      </c>
      <c r="D151" s="24" t="s">
        <v>37</v>
      </c>
      <c r="E151" s="25" t="s">
        <v>11</v>
      </c>
      <c r="F151" s="26"/>
      <c r="G151" s="36" t="s">
        <v>42</v>
      </c>
      <c r="H151" s="28">
        <v>1162.0</v>
      </c>
      <c r="I151" s="28">
        <v>9522.531647433143</v>
      </c>
      <c r="J151" s="29">
        <v>1.1065181774317313E7</v>
      </c>
      <c r="K151" s="29">
        <v>9522.531647433143</v>
      </c>
      <c r="L151" s="30">
        <v>53845.2</v>
      </c>
      <c r="M151" s="29">
        <v>5.12742621062367E8</v>
      </c>
      <c r="N151" s="31" t="s">
        <v>215</v>
      </c>
      <c r="O151" s="32"/>
      <c r="P151" s="33" t="str">
        <f t="array" ref="P151">IFERROR(
HYPERLINK(
"https://drive.google.com/file/d/"&amp;
XLOOKUP(O151,'Hoa-Don'!A:A,'Hoa-Don'!D:D)
&amp;"/view",
"🔎"
),
""
)</f>
        <v/>
      </c>
    </row>
    <row r="152" ht="22.5" customHeight="1">
      <c r="A152" s="21">
        <v>151.0</v>
      </c>
      <c r="B152" s="22">
        <v>42388.0</v>
      </c>
      <c r="C152" s="23">
        <v>82.0</v>
      </c>
      <c r="D152" s="24" t="s">
        <v>61</v>
      </c>
      <c r="E152" s="25" t="s">
        <v>11</v>
      </c>
      <c r="F152" s="26"/>
      <c r="G152" s="36" t="s">
        <v>42</v>
      </c>
      <c r="H152" s="28">
        <v>319.5</v>
      </c>
      <c r="I152" s="28">
        <v>9522.531647433143</v>
      </c>
      <c r="J152" s="29">
        <v>3042448.8613548893</v>
      </c>
      <c r="K152" s="29">
        <v>9522.531647433143</v>
      </c>
      <c r="L152" s="30">
        <v>53525.7</v>
      </c>
      <c r="M152" s="29">
        <v>5.0970017220101213E8</v>
      </c>
      <c r="N152" s="31" t="s">
        <v>216</v>
      </c>
      <c r="O152" s="32"/>
      <c r="P152" s="33" t="str">
        <f t="array" ref="P152">IFERROR(
HYPERLINK(
"https://drive.google.com/file/d/"&amp;
XLOOKUP(O152,'Hoa-Don'!A:A,'Hoa-Don'!D:D)
&amp;"/view",
"🔎"
),
""
)</f>
        <v/>
      </c>
    </row>
    <row r="153" ht="22.5" customHeight="1">
      <c r="A153" s="21">
        <v>152.0</v>
      </c>
      <c r="B153" s="22">
        <v>42389.0</v>
      </c>
      <c r="C153" s="23">
        <v>83.0</v>
      </c>
      <c r="D153" s="24" t="s">
        <v>217</v>
      </c>
      <c r="E153" s="25" t="s">
        <v>11</v>
      </c>
      <c r="F153" s="26"/>
      <c r="G153" s="36" t="s">
        <v>42</v>
      </c>
      <c r="H153" s="28">
        <v>600.0</v>
      </c>
      <c r="I153" s="28">
        <v>9522.531647433143</v>
      </c>
      <c r="J153" s="29">
        <v>5713518.988459886</v>
      </c>
      <c r="K153" s="29">
        <v>9522.531647433143</v>
      </c>
      <c r="L153" s="30">
        <v>52925.7</v>
      </c>
      <c r="M153" s="29">
        <v>5.0398665321255225E8</v>
      </c>
      <c r="N153" s="31" t="s">
        <v>218</v>
      </c>
      <c r="O153" s="32"/>
      <c r="P153" s="33" t="str">
        <f t="array" ref="P153">IFERROR(
HYPERLINK(
"https://drive.google.com/file/d/"&amp;
XLOOKUP(O153,'Hoa-Don'!A:A,'Hoa-Don'!D:D)
&amp;"/view",
"🔎"
),
""
)</f>
        <v/>
      </c>
    </row>
    <row r="154" ht="22.5" customHeight="1">
      <c r="A154" s="21">
        <v>153.0</v>
      </c>
      <c r="B154" s="22">
        <v>42399.0</v>
      </c>
      <c r="C154" s="23">
        <v>84.0</v>
      </c>
      <c r="D154" s="24" t="s">
        <v>140</v>
      </c>
      <c r="E154" s="35" t="s">
        <v>18</v>
      </c>
      <c r="F154" s="26"/>
      <c r="G154" s="36" t="s">
        <v>42</v>
      </c>
      <c r="H154" s="28">
        <v>1048.0</v>
      </c>
      <c r="I154" s="28">
        <v>7111.941713604739</v>
      </c>
      <c r="J154" s="29">
        <v>7453314.915857766</v>
      </c>
      <c r="K154" s="29">
        <v>7111.941713604739</v>
      </c>
      <c r="L154" s="30">
        <v>25914.1</v>
      </c>
      <c r="M154" s="29">
        <v>1.8429956876052454E8</v>
      </c>
      <c r="N154" s="31" t="s">
        <v>219</v>
      </c>
      <c r="O154" s="32"/>
      <c r="P154" s="33" t="str">
        <f t="array" ref="P154">IFERROR(
HYPERLINK(
"https://drive.google.com/file/d/"&amp;
XLOOKUP(O154,'Hoa-Don'!A:A,'Hoa-Don'!D:D)
&amp;"/view",
"🔎"
),
""
)</f>
        <v/>
      </c>
    </row>
    <row r="155" ht="22.5" customHeight="1">
      <c r="A155" s="21">
        <v>154.0</v>
      </c>
      <c r="B155" s="22">
        <v>42399.0</v>
      </c>
      <c r="C155" s="23">
        <v>84.0</v>
      </c>
      <c r="D155" s="24" t="s">
        <v>140</v>
      </c>
      <c r="E155" s="37" t="s">
        <v>16</v>
      </c>
      <c r="F155" s="26"/>
      <c r="G155" s="36" t="s">
        <v>42</v>
      </c>
      <c r="H155" s="28">
        <v>15.5</v>
      </c>
      <c r="I155" s="28">
        <v>13566.691932864103</v>
      </c>
      <c r="J155" s="29">
        <v>210283.7249593936</v>
      </c>
      <c r="K155" s="29">
        <v>13566.691932864103</v>
      </c>
      <c r="L155" s="30">
        <v>5093.5</v>
      </c>
      <c r="M155" s="29">
        <v>6.910194536004332E7</v>
      </c>
      <c r="N155" s="31" t="s">
        <v>220</v>
      </c>
      <c r="O155" s="32"/>
      <c r="P155" s="33" t="str">
        <f t="array" ref="P155">IFERROR(
HYPERLINK(
"https://drive.google.com/file/d/"&amp;
XLOOKUP(O155,'Hoa-Don'!A:A,'Hoa-Don'!D:D)
&amp;"/view",
"🔎"
),
""
)</f>
        <v/>
      </c>
    </row>
    <row r="156" ht="22.5" customHeight="1">
      <c r="A156" s="21">
        <v>155.0</v>
      </c>
      <c r="B156" s="22">
        <v>42400.0</v>
      </c>
      <c r="C156" s="23">
        <v>85.0</v>
      </c>
      <c r="D156" s="24" t="s">
        <v>140</v>
      </c>
      <c r="E156" s="35" t="s">
        <v>18</v>
      </c>
      <c r="F156" s="26"/>
      <c r="G156" s="36" t="s">
        <v>42</v>
      </c>
      <c r="H156" s="28">
        <v>1408.0</v>
      </c>
      <c r="I156" s="28">
        <v>7111.941713604739</v>
      </c>
      <c r="J156" s="29">
        <v>1.0013613932755472E7</v>
      </c>
      <c r="K156" s="29">
        <v>7111.941713604739</v>
      </c>
      <c r="L156" s="30">
        <v>24506.1</v>
      </c>
      <c r="M156" s="29">
        <v>1.7428595482776907E8</v>
      </c>
      <c r="N156" s="31" t="s">
        <v>221</v>
      </c>
      <c r="O156" s="32"/>
      <c r="P156" s="33" t="str">
        <f t="array" ref="P156">IFERROR(
HYPERLINK(
"https://drive.google.com/file/d/"&amp;
XLOOKUP(O156,'Hoa-Don'!A:A,'Hoa-Don'!D:D)
&amp;"/view",
"🔎"
),
""
)</f>
        <v/>
      </c>
    </row>
    <row r="157" ht="22.5" customHeight="1">
      <c r="A157" s="21">
        <v>156.0</v>
      </c>
      <c r="B157" s="22">
        <v>42400.0</v>
      </c>
      <c r="C157" s="23">
        <v>85.0</v>
      </c>
      <c r="D157" s="24" t="s">
        <v>140</v>
      </c>
      <c r="E157" s="37" t="s">
        <v>16</v>
      </c>
      <c r="F157" s="26"/>
      <c r="G157" s="36" t="s">
        <v>42</v>
      </c>
      <c r="H157" s="28">
        <v>15.5</v>
      </c>
      <c r="I157" s="28">
        <v>13566.691932864103</v>
      </c>
      <c r="J157" s="29">
        <v>210283.7249593936</v>
      </c>
      <c r="K157" s="29">
        <v>13566.691932864103</v>
      </c>
      <c r="L157" s="30">
        <v>5078.0</v>
      </c>
      <c r="M157" s="29">
        <v>6.889166163508391E7</v>
      </c>
      <c r="N157" s="31" t="s">
        <v>222</v>
      </c>
      <c r="O157" s="32"/>
      <c r="P157" s="33" t="str">
        <f t="array" ref="P157">IFERROR(
HYPERLINK(
"https://drive.google.com/file/d/"&amp;
XLOOKUP(O157,'Hoa-Don'!A:A,'Hoa-Don'!D:D)
&amp;"/view",
"🔎"
),
""
)</f>
        <v/>
      </c>
    </row>
    <row r="158" ht="22.5" customHeight="1">
      <c r="A158" s="21">
        <v>157.0</v>
      </c>
      <c r="B158" s="22">
        <v>42400.0</v>
      </c>
      <c r="C158" s="23">
        <v>86.0</v>
      </c>
      <c r="D158" s="24" t="s">
        <v>61</v>
      </c>
      <c r="E158" s="25" t="s">
        <v>11</v>
      </c>
      <c r="F158" s="26"/>
      <c r="G158" s="36" t="s">
        <v>42</v>
      </c>
      <c r="H158" s="28">
        <v>142.0</v>
      </c>
      <c r="I158" s="28">
        <v>9522.531647433143</v>
      </c>
      <c r="J158" s="29">
        <v>1352199.4939355063</v>
      </c>
      <c r="K158" s="29">
        <v>9522.531647433143</v>
      </c>
      <c r="L158" s="30">
        <v>52783.7</v>
      </c>
      <c r="M158" s="29">
        <v>5.026344537186168E8</v>
      </c>
      <c r="N158" s="31" t="s">
        <v>223</v>
      </c>
      <c r="O158" s="32"/>
      <c r="P158" s="33" t="str">
        <f t="array" ref="P158">IFERROR(
HYPERLINK(
"https://drive.google.com/file/d/"&amp;
XLOOKUP(O158,'Hoa-Don'!A:A,'Hoa-Don'!D:D)
&amp;"/view",
"🔎"
),
""
)</f>
        <v/>
      </c>
    </row>
    <row r="159" ht="22.5" customHeight="1">
      <c r="A159" s="21">
        <v>158.0</v>
      </c>
      <c r="B159" s="22">
        <v>42414.0</v>
      </c>
      <c r="C159" s="23">
        <v>88.0</v>
      </c>
      <c r="D159" s="24" t="s">
        <v>93</v>
      </c>
      <c r="E159" s="25" t="s">
        <v>11</v>
      </c>
      <c r="F159" s="26"/>
      <c r="G159" s="36" t="s">
        <v>42</v>
      </c>
      <c r="H159" s="28">
        <v>2176.0</v>
      </c>
      <c r="I159" s="28">
        <v>9522.531647433143</v>
      </c>
      <c r="J159" s="29">
        <v>2.072102886481452E7</v>
      </c>
      <c r="K159" s="29">
        <v>9522.531647433143</v>
      </c>
      <c r="L159" s="30">
        <v>50607.7</v>
      </c>
      <c r="M159" s="29">
        <v>4.8191342485380226E8</v>
      </c>
      <c r="N159" s="31" t="s">
        <v>224</v>
      </c>
      <c r="O159" s="32"/>
      <c r="P159" s="33" t="str">
        <f t="array" ref="P159">IFERROR(
HYPERLINK(
"https://drive.google.com/file/d/"&amp;
XLOOKUP(O159,'Hoa-Don'!A:A,'Hoa-Don'!D:D)
&amp;"/view",
"🔎"
),
""
)</f>
        <v/>
      </c>
    </row>
    <row r="160" ht="22.5" customHeight="1">
      <c r="A160" s="21">
        <v>159.0</v>
      </c>
      <c r="B160" s="22">
        <v>42414.0</v>
      </c>
      <c r="C160" s="23">
        <v>88.0</v>
      </c>
      <c r="D160" s="24" t="s">
        <v>93</v>
      </c>
      <c r="E160" s="25" t="s">
        <v>11</v>
      </c>
      <c r="F160" s="26"/>
      <c r="G160" s="36" t="s">
        <v>42</v>
      </c>
      <c r="H160" s="28">
        <v>6876.0</v>
      </c>
      <c r="I160" s="28">
        <v>9522.531647433143</v>
      </c>
      <c r="J160" s="29">
        <v>6.547692760775029E7</v>
      </c>
      <c r="K160" s="29">
        <v>9522.531647433143</v>
      </c>
      <c r="L160" s="30">
        <v>43731.7</v>
      </c>
      <c r="M160" s="29">
        <v>4.1643649724605197E8</v>
      </c>
      <c r="N160" s="31" t="s">
        <v>225</v>
      </c>
      <c r="O160" s="32"/>
      <c r="P160" s="33" t="str">
        <f t="array" ref="P160">IFERROR(
HYPERLINK(
"https://drive.google.com/file/d/"&amp;
XLOOKUP(O160,'Hoa-Don'!A:A,'Hoa-Don'!D:D)
&amp;"/view",
"🔎"
),
""
)</f>
        <v/>
      </c>
    </row>
    <row r="161" ht="22.5" customHeight="1">
      <c r="A161" s="21">
        <v>160.0</v>
      </c>
      <c r="B161" s="22">
        <v>42414.0</v>
      </c>
      <c r="C161" s="23">
        <v>88.0</v>
      </c>
      <c r="D161" s="24" t="s">
        <v>93</v>
      </c>
      <c r="E161" s="25" t="s">
        <v>11</v>
      </c>
      <c r="F161" s="26"/>
      <c r="G161" s="36" t="s">
        <v>42</v>
      </c>
      <c r="H161" s="28">
        <v>2880.0</v>
      </c>
      <c r="I161" s="28">
        <v>9522.531647433143</v>
      </c>
      <c r="J161" s="29">
        <v>2.742489114460745E7</v>
      </c>
      <c r="K161" s="29">
        <v>9522.531647433143</v>
      </c>
      <c r="L161" s="30">
        <v>40851.7</v>
      </c>
      <c r="M161" s="29">
        <v>3.890116061014445E8</v>
      </c>
      <c r="N161" s="31" t="s">
        <v>226</v>
      </c>
      <c r="O161" s="32"/>
      <c r="P161" s="33" t="str">
        <f t="array" ref="P161">IFERROR(
HYPERLINK(
"https://drive.google.com/file/d/"&amp;
XLOOKUP(O161,'Hoa-Don'!A:A,'Hoa-Don'!D:D)
&amp;"/view",
"🔎"
),
""
)</f>
        <v/>
      </c>
    </row>
    <row r="162" ht="22.5" customHeight="1">
      <c r="A162" s="21">
        <v>161.0</v>
      </c>
      <c r="B162" s="22">
        <v>42415.0</v>
      </c>
      <c r="C162" s="23">
        <v>1053.0</v>
      </c>
      <c r="D162" s="24" t="s">
        <v>71</v>
      </c>
      <c r="E162" s="35" t="s">
        <v>18</v>
      </c>
      <c r="F162" s="26"/>
      <c r="G162" s="27" t="s">
        <v>38</v>
      </c>
      <c r="H162" s="28">
        <v>8450.0</v>
      </c>
      <c r="I162" s="28">
        <v>6988.44</v>
      </c>
      <c r="J162" s="29">
        <v>5.9052318E7</v>
      </c>
      <c r="K162" s="29">
        <v>7080.275664528542</v>
      </c>
      <c r="L162" s="30">
        <v>32956.1</v>
      </c>
      <c r="M162" s="29">
        <v>2.3333827282776907E8</v>
      </c>
      <c r="N162" s="31" t="s">
        <v>227</v>
      </c>
      <c r="O162" s="32"/>
      <c r="P162" s="33" t="str">
        <f t="array" ref="P162">IFERROR(
HYPERLINK(
"https://drive.google.com/file/d/"&amp;
XLOOKUP(O162,'Hoa-Don'!A:A,'Hoa-Don'!D:D)
&amp;"/view",
"🔎"
),
""
)</f>
        <v/>
      </c>
    </row>
    <row r="163" ht="22.5" customHeight="1">
      <c r="A163" s="21">
        <v>162.0</v>
      </c>
      <c r="B163" s="22">
        <v>42415.0</v>
      </c>
      <c r="C163" s="23">
        <v>89.0</v>
      </c>
      <c r="D163" s="24" t="s">
        <v>228</v>
      </c>
      <c r="E163" s="25" t="s">
        <v>11</v>
      </c>
      <c r="F163" s="26"/>
      <c r="G163" s="36" t="s">
        <v>42</v>
      </c>
      <c r="H163" s="28">
        <v>635.0</v>
      </c>
      <c r="I163" s="28">
        <v>9522.531647433143</v>
      </c>
      <c r="J163" s="29">
        <v>6046807.5961200455</v>
      </c>
      <c r="K163" s="29">
        <v>9522.531647433143</v>
      </c>
      <c r="L163" s="30">
        <v>40216.7</v>
      </c>
      <c r="M163" s="29">
        <v>3.829647985053245E8</v>
      </c>
      <c r="N163" s="31" t="s">
        <v>229</v>
      </c>
      <c r="O163" s="32"/>
      <c r="P163" s="33" t="str">
        <f t="array" ref="P163">IFERROR(
HYPERLINK(
"https://drive.google.com/file/d/"&amp;
XLOOKUP(O163,'Hoa-Don'!A:A,'Hoa-Don'!D:D)
&amp;"/view",
"🔎"
),
""
)</f>
        <v/>
      </c>
    </row>
    <row r="164" ht="22.5" customHeight="1">
      <c r="A164" s="21">
        <v>163.0</v>
      </c>
      <c r="B164" s="22">
        <v>42417.0</v>
      </c>
      <c r="C164" s="23">
        <v>448.0</v>
      </c>
      <c r="D164" s="24" t="s">
        <v>230</v>
      </c>
      <c r="E164" s="25" t="s">
        <v>11</v>
      </c>
      <c r="F164" s="26"/>
      <c r="G164" s="27" t="s">
        <v>38</v>
      </c>
      <c r="H164" s="28">
        <v>1622.0</v>
      </c>
      <c r="I164" s="28">
        <v>10700.0</v>
      </c>
      <c r="J164" s="29">
        <v>1.73554E7</v>
      </c>
      <c r="K164" s="29">
        <v>9568.179663931349</v>
      </c>
      <c r="L164" s="30">
        <v>41838.7</v>
      </c>
      <c r="M164" s="29">
        <v>4.003201985053245E8</v>
      </c>
      <c r="N164" s="31" t="s">
        <v>231</v>
      </c>
      <c r="O164" s="32"/>
      <c r="P164" s="33" t="str">
        <f t="array" ref="P164">IFERROR(
HYPERLINK(
"https://drive.google.com/file/d/"&amp;
XLOOKUP(O164,'Hoa-Don'!A:A,'Hoa-Don'!D:D)
&amp;"/view",
"🔎"
),
""
)</f>
        <v/>
      </c>
    </row>
    <row r="165" ht="22.5" customHeight="1">
      <c r="A165" s="21">
        <v>164.0</v>
      </c>
      <c r="B165" s="22">
        <v>42417.0</v>
      </c>
      <c r="C165" s="23">
        <v>1060.0</v>
      </c>
      <c r="D165" s="24" t="s">
        <v>71</v>
      </c>
      <c r="E165" s="25" t="s">
        <v>11</v>
      </c>
      <c r="F165" s="26"/>
      <c r="G165" s="27" t="s">
        <v>38</v>
      </c>
      <c r="H165" s="28">
        <v>2360.0</v>
      </c>
      <c r="I165" s="28">
        <v>8181.82</v>
      </c>
      <c r="J165" s="29">
        <v>1.93090952E7</v>
      </c>
      <c r="K165" s="29">
        <v>9494.154663040417</v>
      </c>
      <c r="L165" s="30">
        <v>44198.7</v>
      </c>
      <c r="M165" s="29">
        <v>4.196292937053245E8</v>
      </c>
      <c r="N165" s="31" t="s">
        <v>232</v>
      </c>
      <c r="O165" s="32"/>
      <c r="P165" s="33" t="str">
        <f t="array" ref="P165">IFERROR(
HYPERLINK(
"https://drive.google.com/file/d/"&amp;
XLOOKUP(O165,'Hoa-Don'!A:A,'Hoa-Don'!D:D)
&amp;"/view",
"🔎"
),
""
)</f>
        <v/>
      </c>
    </row>
    <row r="166" ht="22.5" customHeight="1">
      <c r="A166" s="21">
        <v>165.0</v>
      </c>
      <c r="B166" s="22">
        <v>42423.0</v>
      </c>
      <c r="C166" s="23">
        <v>1102.0</v>
      </c>
      <c r="D166" s="24" t="s">
        <v>71</v>
      </c>
      <c r="E166" s="25" t="s">
        <v>11</v>
      </c>
      <c r="F166" s="26"/>
      <c r="G166" s="27" t="s">
        <v>38</v>
      </c>
      <c r="H166" s="28">
        <v>5376.0</v>
      </c>
      <c r="I166" s="28">
        <v>8090.91</v>
      </c>
      <c r="J166" s="29">
        <v>4.349673216E7</v>
      </c>
      <c r="K166" s="29">
        <v>9341.98342834802</v>
      </c>
      <c r="L166" s="30">
        <v>49574.7</v>
      </c>
      <c r="M166" s="29">
        <v>4.631260258653245E8</v>
      </c>
      <c r="N166" s="31" t="s">
        <v>233</v>
      </c>
      <c r="O166" s="32"/>
      <c r="P166" s="33" t="str">
        <f t="array" ref="P166">IFERROR(
HYPERLINK(
"https://drive.google.com/file/d/"&amp;
XLOOKUP(O166,'Hoa-Don'!A:A,'Hoa-Don'!D:D)
&amp;"/view",
"🔎"
),
""
)</f>
        <v/>
      </c>
    </row>
    <row r="167" ht="22.5" customHeight="1">
      <c r="A167" s="21">
        <v>166.0</v>
      </c>
      <c r="B167" s="22">
        <v>42423.0</v>
      </c>
      <c r="C167" s="23">
        <v>1102.0</v>
      </c>
      <c r="D167" s="24" t="s">
        <v>71</v>
      </c>
      <c r="E167" s="25" t="s">
        <v>11</v>
      </c>
      <c r="F167" s="26"/>
      <c r="G167" s="27" t="s">
        <v>38</v>
      </c>
      <c r="H167" s="28">
        <v>1784.0</v>
      </c>
      <c r="I167" s="28">
        <v>9090.91</v>
      </c>
      <c r="J167" s="29">
        <v>1.621818344E7</v>
      </c>
      <c r="K167" s="29">
        <v>9333.26212122434</v>
      </c>
      <c r="L167" s="30">
        <v>51358.7</v>
      </c>
      <c r="M167" s="29">
        <v>4.793442093053245E8</v>
      </c>
      <c r="N167" s="31" t="s">
        <v>234</v>
      </c>
      <c r="O167" s="32"/>
      <c r="P167" s="33" t="str">
        <f t="array" ref="P167">IFERROR(
HYPERLINK(
"https://drive.google.com/file/d/"&amp;
XLOOKUP(O167,'Hoa-Don'!A:A,'Hoa-Don'!D:D)
&amp;"/view",
"🔎"
),
""
)</f>
        <v/>
      </c>
    </row>
    <row r="168" ht="22.5" customHeight="1">
      <c r="A168" s="21">
        <v>167.0</v>
      </c>
      <c r="B168" s="22">
        <v>42423.0</v>
      </c>
      <c r="C168" s="23">
        <v>1102.0</v>
      </c>
      <c r="D168" s="24" t="s">
        <v>71</v>
      </c>
      <c r="E168" s="25" t="s">
        <v>11</v>
      </c>
      <c r="F168" s="26"/>
      <c r="G168" s="27" t="s">
        <v>38</v>
      </c>
      <c r="H168" s="28">
        <v>1200.0</v>
      </c>
      <c r="I168" s="28">
        <v>8409.09</v>
      </c>
      <c r="J168" s="29">
        <v>1.0090908E7</v>
      </c>
      <c r="K168" s="29">
        <v>9312.161779216847</v>
      </c>
      <c r="L168" s="30">
        <v>52558.7</v>
      </c>
      <c r="M168" s="29">
        <v>4.894351173053245E8</v>
      </c>
      <c r="N168" s="31" t="s">
        <v>235</v>
      </c>
      <c r="O168" s="32"/>
      <c r="P168" s="33" t="str">
        <f t="array" ref="P168">IFERROR(
HYPERLINK(
"https://drive.google.com/file/d/"&amp;
XLOOKUP(O168,'Hoa-Don'!A:A,'Hoa-Don'!D:D)
&amp;"/view",
"🔎"
),
""
)</f>
        <v/>
      </c>
    </row>
    <row r="169" ht="22.5" customHeight="1">
      <c r="A169" s="21">
        <v>168.0</v>
      </c>
      <c r="B169" s="22">
        <v>42423.0</v>
      </c>
      <c r="C169" s="23">
        <v>1102.0</v>
      </c>
      <c r="D169" s="24" t="s">
        <v>71</v>
      </c>
      <c r="E169" s="25" t="s">
        <v>11</v>
      </c>
      <c r="F169" s="26"/>
      <c r="G169" s="27" t="s">
        <v>38</v>
      </c>
      <c r="H169" s="28">
        <v>1650.0</v>
      </c>
      <c r="I169" s="28">
        <v>7818.18</v>
      </c>
      <c r="J169" s="29">
        <v>1.2899997E7</v>
      </c>
      <c r="K169" s="29">
        <v>9266.688083376368</v>
      </c>
      <c r="L169" s="30">
        <v>54208.7</v>
      </c>
      <c r="M169" s="29">
        <v>5.023351143053245E8</v>
      </c>
      <c r="N169" s="31" t="s">
        <v>236</v>
      </c>
      <c r="O169" s="32"/>
      <c r="P169" s="33" t="str">
        <f t="array" ref="P169">IFERROR(
HYPERLINK(
"https://drive.google.com/file/d/"&amp;
XLOOKUP(O169,'Hoa-Don'!A:A,'Hoa-Don'!D:D)
&amp;"/view",
"🔎"
),
""
)</f>
        <v/>
      </c>
    </row>
    <row r="170" ht="22.5" customHeight="1">
      <c r="A170" s="21">
        <v>169.0</v>
      </c>
      <c r="B170" s="22">
        <v>42427.0</v>
      </c>
      <c r="C170" s="23">
        <v>1137.0</v>
      </c>
      <c r="D170" s="24" t="s">
        <v>71</v>
      </c>
      <c r="E170" s="25" t="s">
        <v>11</v>
      </c>
      <c r="F170" s="26"/>
      <c r="G170" s="27" t="s">
        <v>38</v>
      </c>
      <c r="H170" s="28">
        <v>7410.0</v>
      </c>
      <c r="I170" s="28">
        <v>8090.91</v>
      </c>
      <c r="J170" s="29">
        <v>5.99536431E7</v>
      </c>
      <c r="K170" s="29">
        <v>9125.294065037473</v>
      </c>
      <c r="L170" s="30">
        <v>61618.7</v>
      </c>
      <c r="M170" s="29">
        <v>5.622887574053245E8</v>
      </c>
      <c r="N170" s="31" t="s">
        <v>237</v>
      </c>
      <c r="O170" s="32"/>
      <c r="P170" s="33" t="str">
        <f t="array" ref="P170">IFERROR(
HYPERLINK(
"https://drive.google.com/file/d/"&amp;
XLOOKUP(O170,'Hoa-Don'!A:A,'Hoa-Don'!D:D)
&amp;"/view",
"🔎"
),
""
)</f>
        <v/>
      </c>
    </row>
    <row r="171" ht="22.5" customHeight="1">
      <c r="A171" s="21">
        <v>170.0</v>
      </c>
      <c r="B171" s="22">
        <v>42427.0</v>
      </c>
      <c r="C171" s="23">
        <v>1137.0</v>
      </c>
      <c r="D171" s="24" t="s">
        <v>71</v>
      </c>
      <c r="E171" s="35" t="s">
        <v>18</v>
      </c>
      <c r="F171" s="26"/>
      <c r="G171" s="27" t="s">
        <v>38</v>
      </c>
      <c r="H171" s="28">
        <v>1260.0</v>
      </c>
      <c r="I171" s="28">
        <v>7045.45</v>
      </c>
      <c r="J171" s="29">
        <v>8877267.0</v>
      </c>
      <c r="K171" s="29">
        <v>7078.993217455206</v>
      </c>
      <c r="L171" s="30">
        <v>34216.1</v>
      </c>
      <c r="M171" s="29">
        <v>2.4221553982776907E8</v>
      </c>
      <c r="N171" s="31" t="s">
        <v>238</v>
      </c>
      <c r="O171" s="32"/>
      <c r="P171" s="33" t="str">
        <f t="array" ref="P171">IFERROR(
HYPERLINK(
"https://drive.google.com/file/d/"&amp;
XLOOKUP(O171,'Hoa-Don'!A:A,'Hoa-Don'!D:D)
&amp;"/view",
"🔎"
),
""
)</f>
        <v/>
      </c>
    </row>
    <row r="172" ht="22.5" customHeight="1">
      <c r="A172" s="21">
        <v>171.0</v>
      </c>
      <c r="B172" s="22">
        <v>42431.0</v>
      </c>
      <c r="C172" s="23">
        <v>90.0</v>
      </c>
      <c r="D172" s="24" t="s">
        <v>93</v>
      </c>
      <c r="E172" s="25" t="s">
        <v>11</v>
      </c>
      <c r="F172" s="26"/>
      <c r="G172" s="36" t="s">
        <v>42</v>
      </c>
      <c r="H172" s="28">
        <v>1622.0</v>
      </c>
      <c r="I172" s="28">
        <v>9125.294065037473</v>
      </c>
      <c r="J172" s="29">
        <v>1.4801226973490782E7</v>
      </c>
      <c r="K172" s="29">
        <v>9125.294065037473</v>
      </c>
      <c r="L172" s="30">
        <v>59996.7</v>
      </c>
      <c r="M172" s="29">
        <v>5.474875304318337E8</v>
      </c>
      <c r="N172" s="31" t="s">
        <v>239</v>
      </c>
      <c r="O172" s="32"/>
      <c r="P172" s="33" t="str">
        <f t="array" ref="P172">IFERROR(
HYPERLINK(
"https://drive.google.com/file/d/"&amp;
XLOOKUP(O172,'Hoa-Don'!A:A,'Hoa-Don'!D:D)
&amp;"/view",
"🔎"
),
""
)</f>
        <v/>
      </c>
    </row>
    <row r="173" ht="22.5" customHeight="1">
      <c r="A173" s="21">
        <v>172.0</v>
      </c>
      <c r="B173" s="22">
        <v>42431.0</v>
      </c>
      <c r="C173" s="23">
        <v>90.0</v>
      </c>
      <c r="D173" s="24" t="s">
        <v>93</v>
      </c>
      <c r="E173" s="37" t="s">
        <v>16</v>
      </c>
      <c r="F173" s="26"/>
      <c r="G173" s="36" t="s">
        <v>42</v>
      </c>
      <c r="H173" s="28">
        <v>1800.0</v>
      </c>
      <c r="I173" s="28">
        <v>13566.691932864103</v>
      </c>
      <c r="J173" s="29">
        <v>2.4420045479155388E7</v>
      </c>
      <c r="K173" s="29">
        <v>13566.691932864103</v>
      </c>
      <c r="L173" s="30">
        <v>3278.0</v>
      </c>
      <c r="M173" s="29">
        <v>4.447161615592853E7</v>
      </c>
      <c r="N173" s="31" t="s">
        <v>240</v>
      </c>
      <c r="O173" s="32"/>
      <c r="P173" s="33" t="str">
        <f t="array" ref="P173">IFERROR(
HYPERLINK(
"https://drive.google.com/file/d/"&amp;
XLOOKUP(O173,'Hoa-Don'!A:A,'Hoa-Don'!D:D)
&amp;"/view",
"🔎"
),
""
)</f>
        <v/>
      </c>
    </row>
    <row r="174" ht="22.5" customHeight="1">
      <c r="A174" s="21">
        <v>173.0</v>
      </c>
      <c r="B174" s="22">
        <v>42431.0</v>
      </c>
      <c r="C174" s="23">
        <v>90.0</v>
      </c>
      <c r="D174" s="24" t="s">
        <v>93</v>
      </c>
      <c r="E174" s="35" t="s">
        <v>18</v>
      </c>
      <c r="F174" s="26"/>
      <c r="G174" s="36" t="s">
        <v>42</v>
      </c>
      <c r="H174" s="28">
        <v>1422.0</v>
      </c>
      <c r="I174" s="28">
        <v>7078.993217455206</v>
      </c>
      <c r="J174" s="29">
        <v>1.0066328355221303E7</v>
      </c>
      <c r="K174" s="29">
        <v>7078.993217455206</v>
      </c>
      <c r="L174" s="30">
        <v>32794.1</v>
      </c>
      <c r="M174" s="29">
        <v>2.3214921147254777E8</v>
      </c>
      <c r="N174" s="31" t="s">
        <v>241</v>
      </c>
      <c r="O174" s="32"/>
      <c r="P174" s="33" t="str">
        <f t="array" ref="P174">IFERROR(
HYPERLINK(
"https://drive.google.com/file/d/"&amp;
XLOOKUP(O174,'Hoa-Don'!A:A,'Hoa-Don'!D:D)
&amp;"/view",
"🔎"
),
""
)</f>
        <v/>
      </c>
    </row>
    <row r="175" ht="22.5" customHeight="1">
      <c r="A175" s="21">
        <v>174.0</v>
      </c>
      <c r="B175" s="22">
        <v>42431.0</v>
      </c>
      <c r="C175" s="23">
        <v>90.0</v>
      </c>
      <c r="D175" s="24" t="s">
        <v>93</v>
      </c>
      <c r="E175" s="35" t="s">
        <v>18</v>
      </c>
      <c r="F175" s="26"/>
      <c r="G175" s="36" t="s">
        <v>42</v>
      </c>
      <c r="H175" s="28">
        <v>5141.0</v>
      </c>
      <c r="I175" s="28">
        <v>7078.993217455206</v>
      </c>
      <c r="J175" s="29">
        <v>3.639310413093721E7</v>
      </c>
      <c r="K175" s="29">
        <v>7078.993217455206</v>
      </c>
      <c r="L175" s="30">
        <v>27653.1</v>
      </c>
      <c r="M175" s="29">
        <v>1.9575610734161055E8</v>
      </c>
      <c r="N175" s="31" t="s">
        <v>242</v>
      </c>
      <c r="O175" s="32"/>
      <c r="P175" s="33" t="str">
        <f t="array" ref="P175">IFERROR(
HYPERLINK(
"https://drive.google.com/file/d/"&amp;
XLOOKUP(O175,'Hoa-Don'!A:A,'Hoa-Don'!D:D)
&amp;"/view",
"🔎"
),
""
)</f>
        <v/>
      </c>
    </row>
    <row r="176" ht="22.5" customHeight="1">
      <c r="A176" s="21">
        <v>175.0</v>
      </c>
      <c r="B176" s="22">
        <v>42438.0</v>
      </c>
      <c r="C176" s="23">
        <v>1256.0</v>
      </c>
      <c r="D176" s="24" t="s">
        <v>71</v>
      </c>
      <c r="E176" s="25" t="s">
        <v>11</v>
      </c>
      <c r="F176" s="26"/>
      <c r="G176" s="27" t="s">
        <v>38</v>
      </c>
      <c r="H176" s="28">
        <v>6308.0</v>
      </c>
      <c r="I176" s="28">
        <v>8609.33</v>
      </c>
      <c r="J176" s="29">
        <v>5.430765364E7</v>
      </c>
      <c r="K176" s="29">
        <v>9076.207027131315</v>
      </c>
      <c r="L176" s="30">
        <v>66304.7</v>
      </c>
      <c r="M176" s="29">
        <v>6.017951840718337E8</v>
      </c>
      <c r="N176" s="31" t="s">
        <v>243</v>
      </c>
      <c r="O176" s="32"/>
      <c r="P176" s="33" t="str">
        <f t="array" ref="P176">IFERROR(
HYPERLINK(
"https://drive.google.com/file/d/"&amp;
XLOOKUP(O176,'Hoa-Don'!A:A,'Hoa-Don'!D:D)
&amp;"/view",
"🔎"
),
""
)</f>
        <v/>
      </c>
    </row>
    <row r="177" ht="22.5" customHeight="1">
      <c r="A177" s="21">
        <v>176.0</v>
      </c>
      <c r="B177" s="22">
        <v>42438.0</v>
      </c>
      <c r="C177" s="23">
        <v>1256.0</v>
      </c>
      <c r="D177" s="24" t="s">
        <v>71</v>
      </c>
      <c r="E177" s="35" t="s">
        <v>18</v>
      </c>
      <c r="F177" s="26"/>
      <c r="G177" s="27" t="s">
        <v>38</v>
      </c>
      <c r="H177" s="28">
        <v>4530.0</v>
      </c>
      <c r="I177" s="28">
        <v>8727.27</v>
      </c>
      <c r="J177" s="29">
        <v>3.95345331E7</v>
      </c>
      <c r="K177" s="29">
        <v>7310.99988632576</v>
      </c>
      <c r="L177" s="30">
        <v>32183.1</v>
      </c>
      <c r="M177" s="29">
        <v>2.3529064044161054E8</v>
      </c>
      <c r="N177" s="31" t="s">
        <v>244</v>
      </c>
      <c r="O177" s="32"/>
      <c r="P177" s="33" t="str">
        <f t="array" ref="P177">IFERROR(
HYPERLINK(
"https://drive.google.com/file/d/"&amp;
XLOOKUP(O177,'Hoa-Don'!A:A,'Hoa-Don'!D:D)
&amp;"/view",
"🔎"
),
""
)</f>
        <v/>
      </c>
    </row>
    <row r="178" ht="22.5" customHeight="1">
      <c r="A178" s="21">
        <v>177.0</v>
      </c>
      <c r="B178" s="22">
        <v>42439.0</v>
      </c>
      <c r="C178" s="23">
        <v>49.0</v>
      </c>
      <c r="D178" s="24" t="s">
        <v>69</v>
      </c>
      <c r="E178" s="37" t="s">
        <v>16</v>
      </c>
      <c r="F178" s="26"/>
      <c r="G178" s="27" t="s">
        <v>38</v>
      </c>
      <c r="H178" s="28">
        <v>3926.0</v>
      </c>
      <c r="I178" s="28">
        <v>10768.76</v>
      </c>
      <c r="J178" s="29">
        <v>4.227815176E7</v>
      </c>
      <c r="K178" s="29">
        <v>12041.8889389129</v>
      </c>
      <c r="L178" s="30">
        <v>7204.0</v>
      </c>
      <c r="M178" s="29">
        <v>8.674976791592853E7</v>
      </c>
      <c r="N178" s="31" t="s">
        <v>245</v>
      </c>
      <c r="O178" s="32"/>
      <c r="P178" s="33" t="str">
        <f t="array" ref="P178">IFERROR(
HYPERLINK(
"https://drive.google.com/file/d/"&amp;
XLOOKUP(O178,'Hoa-Don'!A:A,'Hoa-Don'!D:D)
&amp;"/view",
"🔎"
),
""
)</f>
        <v/>
      </c>
    </row>
    <row r="179" ht="22.5" customHeight="1">
      <c r="A179" s="21">
        <v>178.0</v>
      </c>
      <c r="B179" s="22">
        <v>42439.0</v>
      </c>
      <c r="C179" s="23">
        <v>9840.0</v>
      </c>
      <c r="D179" s="24" t="s">
        <v>246</v>
      </c>
      <c r="E179" s="25" t="s">
        <v>11</v>
      </c>
      <c r="F179" s="26"/>
      <c r="G179" s="27" t="s">
        <v>38</v>
      </c>
      <c r="H179" s="28">
        <v>1726.0</v>
      </c>
      <c r="I179" s="28">
        <v>9636.4</v>
      </c>
      <c r="J179" s="29">
        <v>1.6632426399999999E7</v>
      </c>
      <c r="K179" s="29">
        <v>9090.419626313322</v>
      </c>
      <c r="L179" s="30">
        <v>68030.7</v>
      </c>
      <c r="M179" s="29">
        <v>6.184276104718337E8</v>
      </c>
      <c r="N179" s="31" t="s">
        <v>247</v>
      </c>
      <c r="O179" s="32"/>
      <c r="P179" s="33" t="str">
        <f t="array" ref="P179">IFERROR(
HYPERLINK(
"https://drive.google.com/file/d/"&amp;
XLOOKUP(O179,'Hoa-Don'!A:A,'Hoa-Don'!D:D)
&amp;"/view",
"🔎"
),
""
)</f>
        <v/>
      </c>
    </row>
    <row r="180" ht="22.5" customHeight="1">
      <c r="A180" s="21">
        <v>179.0</v>
      </c>
      <c r="B180" s="22">
        <v>42439.0</v>
      </c>
      <c r="C180" s="23">
        <v>91.0</v>
      </c>
      <c r="D180" s="24" t="s">
        <v>248</v>
      </c>
      <c r="E180" s="37" t="s">
        <v>16</v>
      </c>
      <c r="F180" s="26"/>
      <c r="G180" s="36" t="s">
        <v>42</v>
      </c>
      <c r="H180" s="28">
        <v>3926.0</v>
      </c>
      <c r="I180" s="28">
        <v>12041.8889389129</v>
      </c>
      <c r="J180" s="29">
        <v>4.727645597417205E7</v>
      </c>
      <c r="K180" s="29">
        <v>12041.8889389129</v>
      </c>
      <c r="L180" s="30">
        <v>3278.0</v>
      </c>
      <c r="M180" s="29">
        <v>3.947331194175649E7</v>
      </c>
      <c r="N180" s="31" t="s">
        <v>249</v>
      </c>
      <c r="O180" s="32"/>
      <c r="P180" s="33" t="str">
        <f t="array" ref="P180">IFERROR(
HYPERLINK(
"https://drive.google.com/file/d/"&amp;
XLOOKUP(O180,'Hoa-Don'!A:A,'Hoa-Don'!D:D)
&amp;"/view",
"🔎"
),
""
)</f>
        <v/>
      </c>
    </row>
    <row r="181" ht="22.5" customHeight="1">
      <c r="A181" s="21">
        <v>180.0</v>
      </c>
      <c r="B181" s="22">
        <v>42440.0</v>
      </c>
      <c r="C181" s="23">
        <v>466.0</v>
      </c>
      <c r="D181" s="24" t="s">
        <v>230</v>
      </c>
      <c r="E181" s="25" t="s">
        <v>11</v>
      </c>
      <c r="F181" s="26"/>
      <c r="G181" s="27" t="s">
        <v>38</v>
      </c>
      <c r="H181" s="28">
        <v>811.0</v>
      </c>
      <c r="I181" s="28">
        <v>11400.0</v>
      </c>
      <c r="J181" s="29">
        <v>9245400.0</v>
      </c>
      <c r="K181" s="29">
        <v>9117.627985244899</v>
      </c>
      <c r="L181" s="30">
        <v>68841.7</v>
      </c>
      <c r="M181" s="29">
        <v>6.276730104718337E8</v>
      </c>
      <c r="N181" s="31" t="s">
        <v>250</v>
      </c>
      <c r="O181" s="32"/>
      <c r="P181" s="33" t="str">
        <f t="array" ref="P181">IFERROR(
HYPERLINK(
"https://drive.google.com/file/d/"&amp;
XLOOKUP(O181,'Hoa-Don'!A:A,'Hoa-Don'!D:D)
&amp;"/view",
"🔎"
),
""
)</f>
        <v/>
      </c>
    </row>
    <row r="182" ht="22.5" customHeight="1">
      <c r="A182" s="21">
        <v>181.0</v>
      </c>
      <c r="B182" s="22">
        <v>42445.0</v>
      </c>
      <c r="C182" s="23">
        <v>1314.0</v>
      </c>
      <c r="D182" s="24" t="s">
        <v>71</v>
      </c>
      <c r="E182" s="25" t="s">
        <v>11</v>
      </c>
      <c r="F182" s="26"/>
      <c r="G182" s="27" t="s">
        <v>38</v>
      </c>
      <c r="H182" s="28">
        <v>3270.0</v>
      </c>
      <c r="I182" s="28">
        <v>9376.87</v>
      </c>
      <c r="J182" s="29">
        <v>3.0662364900000002E7</v>
      </c>
      <c r="K182" s="29">
        <v>9129.383655798347</v>
      </c>
      <c r="L182" s="30">
        <v>72111.7</v>
      </c>
      <c r="M182" s="29">
        <v>6.583353753718337E8</v>
      </c>
      <c r="N182" s="31" t="s">
        <v>251</v>
      </c>
      <c r="O182" s="32"/>
      <c r="P182" s="33" t="str">
        <f t="array" ref="P182">IFERROR(
HYPERLINK(
"https://drive.google.com/file/d/"&amp;
XLOOKUP(O182,'Hoa-Don'!A:A,'Hoa-Don'!D:D)
&amp;"/view",
"🔎"
),
""
)</f>
        <v/>
      </c>
    </row>
    <row r="183" ht="22.5" customHeight="1">
      <c r="A183" s="21">
        <v>182.0</v>
      </c>
      <c r="B183" s="22">
        <v>42449.0</v>
      </c>
      <c r="C183" s="23">
        <v>92.0</v>
      </c>
      <c r="D183" s="24" t="s">
        <v>63</v>
      </c>
      <c r="E183" s="35" t="s">
        <v>18</v>
      </c>
      <c r="F183" s="26"/>
      <c r="G183" s="36" t="s">
        <v>42</v>
      </c>
      <c r="H183" s="28">
        <v>788.0</v>
      </c>
      <c r="I183" s="28">
        <v>7310.99988632576</v>
      </c>
      <c r="J183" s="29">
        <v>5761067.910424699</v>
      </c>
      <c r="K183" s="29">
        <v>7310.99988632576</v>
      </c>
      <c r="L183" s="30">
        <v>31395.1</v>
      </c>
      <c r="M183" s="29">
        <v>2.2952957253118584E8</v>
      </c>
      <c r="N183" s="31" t="s">
        <v>252</v>
      </c>
      <c r="O183" s="32"/>
      <c r="P183" s="33" t="str">
        <f t="array" ref="P183">IFERROR(
HYPERLINK(
"https://drive.google.com/file/d/"&amp;
XLOOKUP(O183,'Hoa-Don'!A:A,'Hoa-Don'!D:D)
&amp;"/view",
"🔎"
),
""
)</f>
        <v/>
      </c>
    </row>
    <row r="184" ht="22.5" customHeight="1">
      <c r="A184" s="21">
        <v>183.0</v>
      </c>
      <c r="B184" s="22">
        <v>42450.0</v>
      </c>
      <c r="C184" s="23">
        <v>927.0</v>
      </c>
      <c r="D184" s="24" t="s">
        <v>253</v>
      </c>
      <c r="E184" s="25" t="s">
        <v>11</v>
      </c>
      <c r="F184" s="26"/>
      <c r="G184" s="27" t="s">
        <v>38</v>
      </c>
      <c r="H184" s="28">
        <v>2334.0</v>
      </c>
      <c r="I184" s="28">
        <v>9818.18</v>
      </c>
      <c r="J184" s="29">
        <v>2.291563212E7</v>
      </c>
      <c r="K184" s="29">
        <v>9150.978599057215</v>
      </c>
      <c r="L184" s="30">
        <v>74445.7</v>
      </c>
      <c r="M184" s="29">
        <v>6.812510074918337E8</v>
      </c>
      <c r="N184" s="31" t="s">
        <v>254</v>
      </c>
      <c r="O184" s="32"/>
      <c r="P184" s="33" t="str">
        <f t="array" ref="P184">IFERROR(
HYPERLINK(
"https://drive.google.com/file/d/"&amp;
XLOOKUP(O184,'Hoa-Don'!A:A,'Hoa-Don'!D:D)
&amp;"/view",
"🔎"
),
""
)</f>
        <v/>
      </c>
    </row>
    <row r="185" ht="22.5" customHeight="1">
      <c r="A185" s="21">
        <v>184.0</v>
      </c>
      <c r="B185" s="22">
        <v>42450.0</v>
      </c>
      <c r="C185" s="23">
        <v>927.0</v>
      </c>
      <c r="D185" s="24" t="s">
        <v>253</v>
      </c>
      <c r="E185" s="25" t="s">
        <v>11</v>
      </c>
      <c r="F185" s="26"/>
      <c r="G185" s="27" t="s">
        <v>38</v>
      </c>
      <c r="H185" s="28">
        <v>3808.0</v>
      </c>
      <c r="I185" s="28">
        <v>9818.18</v>
      </c>
      <c r="J185" s="29">
        <v>3.738762944E7</v>
      </c>
      <c r="K185" s="29">
        <v>9183.44611094215</v>
      </c>
      <c r="L185" s="30">
        <v>78253.7</v>
      </c>
      <c r="M185" s="29">
        <v>7.186386369318337E8</v>
      </c>
      <c r="N185" s="31" t="s">
        <v>255</v>
      </c>
      <c r="O185" s="32"/>
      <c r="P185" s="33" t="str">
        <f t="array" ref="P185">IFERROR(
HYPERLINK(
"https://drive.google.com/file/d/"&amp;
XLOOKUP(O185,'Hoa-Don'!A:A,'Hoa-Don'!D:D)
&amp;"/view",
"🔎"
),
""
)</f>
        <v/>
      </c>
    </row>
    <row r="186" ht="22.5" customHeight="1">
      <c r="A186" s="21">
        <v>185.0</v>
      </c>
      <c r="B186" s="22">
        <v>42450.0</v>
      </c>
      <c r="C186" s="23">
        <v>927.0</v>
      </c>
      <c r="D186" s="24" t="s">
        <v>253</v>
      </c>
      <c r="E186" s="25" t="s">
        <v>11</v>
      </c>
      <c r="F186" s="26"/>
      <c r="G186" s="27" t="s">
        <v>38</v>
      </c>
      <c r="H186" s="28">
        <v>2910.0</v>
      </c>
      <c r="I186" s="28">
        <v>9545.45</v>
      </c>
      <c r="J186" s="29">
        <v>2.7777259500000004E7</v>
      </c>
      <c r="K186" s="29">
        <v>9196.425205255968</v>
      </c>
      <c r="L186" s="30">
        <v>81163.7</v>
      </c>
      <c r="M186" s="29">
        <v>7.464158964318337E8</v>
      </c>
      <c r="N186" s="31" t="s">
        <v>256</v>
      </c>
      <c r="O186" s="32"/>
      <c r="P186" s="33" t="str">
        <f t="array" ref="P186">IFERROR(
HYPERLINK(
"https://drive.google.com/file/d/"&amp;
XLOOKUP(O186,'Hoa-Don'!A:A,'Hoa-Don'!D:D)
&amp;"/view",
"🔎"
),
""
)</f>
        <v/>
      </c>
    </row>
    <row r="187" ht="22.5" customHeight="1">
      <c r="A187" s="21">
        <v>186.0</v>
      </c>
      <c r="B187" s="22">
        <v>42450.0</v>
      </c>
      <c r="C187" s="23">
        <v>927.0</v>
      </c>
      <c r="D187" s="24" t="s">
        <v>253</v>
      </c>
      <c r="E187" s="25" t="s">
        <v>11</v>
      </c>
      <c r="F187" s="26"/>
      <c r="G187" s="27" t="s">
        <v>38</v>
      </c>
      <c r="H187" s="28">
        <v>1176.0</v>
      </c>
      <c r="I187" s="28">
        <v>9181.82</v>
      </c>
      <c r="J187" s="29">
        <v>1.079782032E7</v>
      </c>
      <c r="K187" s="29">
        <v>9196.216609385678</v>
      </c>
      <c r="L187" s="30">
        <v>82339.7</v>
      </c>
      <c r="M187" s="29">
        <v>7.572137167518338E8</v>
      </c>
      <c r="N187" s="31" t="s">
        <v>257</v>
      </c>
      <c r="O187" s="32"/>
      <c r="P187" s="33" t="str">
        <f t="array" ref="P187">IFERROR(
HYPERLINK(
"https://drive.google.com/file/d/"&amp;
XLOOKUP(O187,'Hoa-Don'!A:A,'Hoa-Don'!D:D)
&amp;"/view",
"🔎"
),
""
)</f>
        <v/>
      </c>
    </row>
    <row r="188" ht="22.5" customHeight="1">
      <c r="A188" s="21">
        <v>187.0</v>
      </c>
      <c r="B188" s="22">
        <v>42450.0</v>
      </c>
      <c r="C188" s="23">
        <v>927.0</v>
      </c>
      <c r="D188" s="24" t="s">
        <v>253</v>
      </c>
      <c r="E188" s="25" t="s">
        <v>11</v>
      </c>
      <c r="F188" s="26"/>
      <c r="G188" s="27" t="s">
        <v>38</v>
      </c>
      <c r="H188" s="28">
        <v>1662.0</v>
      </c>
      <c r="I188" s="28">
        <v>9545.45</v>
      </c>
      <c r="J188" s="29">
        <v>1.58645379E7</v>
      </c>
      <c r="K188" s="29">
        <v>9203.126301632394</v>
      </c>
      <c r="L188" s="30">
        <v>84001.7</v>
      </c>
      <c r="M188" s="29">
        <v>7.730782546518338E8</v>
      </c>
      <c r="N188" s="31" t="s">
        <v>258</v>
      </c>
      <c r="O188" s="32"/>
      <c r="P188" s="33" t="str">
        <f t="array" ref="P188">IFERROR(
HYPERLINK(
"https://drive.google.com/file/d/"&amp;
XLOOKUP(O188,'Hoa-Don'!A:A,'Hoa-Don'!D:D)
&amp;"/view",
"🔎"
),
""
)</f>
        <v/>
      </c>
    </row>
    <row r="189" ht="22.5" customHeight="1">
      <c r="A189" s="21">
        <v>188.0</v>
      </c>
      <c r="B189" s="22">
        <v>42450.0</v>
      </c>
      <c r="C189" s="23">
        <v>927.0</v>
      </c>
      <c r="D189" s="24" t="s">
        <v>253</v>
      </c>
      <c r="E189" s="35" t="s">
        <v>18</v>
      </c>
      <c r="F189" s="26"/>
      <c r="G189" s="27" t="s">
        <v>38</v>
      </c>
      <c r="H189" s="28">
        <v>1900.0</v>
      </c>
      <c r="I189" s="28">
        <v>8545.45</v>
      </c>
      <c r="J189" s="29">
        <v>1.6236355000000002E7</v>
      </c>
      <c r="K189" s="29">
        <v>7381.444342596534</v>
      </c>
      <c r="L189" s="30">
        <v>33295.1</v>
      </c>
      <c r="M189" s="29">
        <v>2.4576592753118584E8</v>
      </c>
      <c r="N189" s="31" t="s">
        <v>259</v>
      </c>
      <c r="O189" s="32"/>
      <c r="P189" s="33" t="str">
        <f t="array" ref="P189">IFERROR(
HYPERLINK(
"https://drive.google.com/file/d/"&amp;
XLOOKUP(O189,'Hoa-Don'!A:A,'Hoa-Don'!D:D)
&amp;"/view",
"🔎"
),
""
)</f>
        <v/>
      </c>
    </row>
    <row r="190" ht="22.5" customHeight="1">
      <c r="A190" s="21">
        <v>189.0</v>
      </c>
      <c r="B190" s="22">
        <v>42450.0</v>
      </c>
      <c r="C190" s="23">
        <v>93.0</v>
      </c>
      <c r="D190" s="24" t="s">
        <v>248</v>
      </c>
      <c r="E190" s="37" t="s">
        <v>16</v>
      </c>
      <c r="F190" s="26"/>
      <c r="G190" s="36" t="s">
        <v>42</v>
      </c>
      <c r="H190" s="28">
        <v>1430.0</v>
      </c>
      <c r="I190" s="28">
        <v>12041.8889389129</v>
      </c>
      <c r="J190" s="29">
        <v>1.7219901182645448E7</v>
      </c>
      <c r="K190" s="29">
        <v>12041.8889389129</v>
      </c>
      <c r="L190" s="30">
        <v>1848.0</v>
      </c>
      <c r="M190" s="29">
        <v>2.225341075911104E7</v>
      </c>
      <c r="N190" s="31" t="s">
        <v>260</v>
      </c>
      <c r="O190" s="32"/>
      <c r="P190" s="33" t="str">
        <f t="array" ref="P190">IFERROR(
HYPERLINK(
"https://drive.google.com/file/d/"&amp;
XLOOKUP(O190,'Hoa-Don'!A:A,'Hoa-Don'!D:D)
&amp;"/view",
"🔎"
),
""
)</f>
        <v/>
      </c>
    </row>
    <row r="191" ht="22.5" customHeight="1">
      <c r="A191" s="21">
        <v>190.0</v>
      </c>
      <c r="B191" s="22">
        <v>42451.0</v>
      </c>
      <c r="C191" s="23">
        <v>94.0</v>
      </c>
      <c r="D191" s="24" t="s">
        <v>261</v>
      </c>
      <c r="E191" s="35" t="s">
        <v>18</v>
      </c>
      <c r="F191" s="26"/>
      <c r="G191" s="36" t="s">
        <v>42</v>
      </c>
      <c r="H191" s="28">
        <v>2330.0</v>
      </c>
      <c r="I191" s="28">
        <v>7381.444342596534</v>
      </c>
      <c r="J191" s="29">
        <v>1.7198765318249922E7</v>
      </c>
      <c r="K191" s="29">
        <v>7381.444342596534</v>
      </c>
      <c r="L191" s="30">
        <v>30965.1</v>
      </c>
      <c r="M191" s="29">
        <v>2.2856716221293592E8</v>
      </c>
      <c r="N191" s="31" t="s">
        <v>262</v>
      </c>
      <c r="O191" s="32"/>
      <c r="P191" s="33" t="str">
        <f t="array" ref="P191">IFERROR(
HYPERLINK(
"https://drive.google.com/file/d/"&amp;
XLOOKUP(O191,'Hoa-Don'!A:A,'Hoa-Don'!D:D)
&amp;"/view",
"🔎"
),
""
)</f>
        <v/>
      </c>
    </row>
    <row r="192" ht="22.5" customHeight="1">
      <c r="A192" s="21">
        <v>191.0</v>
      </c>
      <c r="B192" s="22">
        <v>42461.0</v>
      </c>
      <c r="C192" s="23">
        <v>96.0</v>
      </c>
      <c r="D192" s="24" t="s">
        <v>93</v>
      </c>
      <c r="E192" s="25" t="s">
        <v>11</v>
      </c>
      <c r="F192" s="26"/>
      <c r="G192" s="36" t="s">
        <v>42</v>
      </c>
      <c r="H192" s="28">
        <v>12851.0</v>
      </c>
      <c r="I192" s="28">
        <v>9203.126301632394</v>
      </c>
      <c r="J192" s="29">
        <v>1.1826937610227789E8</v>
      </c>
      <c r="K192" s="29">
        <v>9203.126301632394</v>
      </c>
      <c r="L192" s="30">
        <v>71150.7</v>
      </c>
      <c r="M192" s="29">
        <v>6.548088785495559E8</v>
      </c>
      <c r="N192" s="31" t="s">
        <v>263</v>
      </c>
      <c r="O192" s="32"/>
      <c r="P192" s="33" t="str">
        <f t="array" ref="P192">IFERROR(
HYPERLINK(
"https://drive.google.com/file/d/"&amp;
XLOOKUP(O192,'Hoa-Don'!A:A,'Hoa-Don'!D:D)
&amp;"/view",
"🔎"
),
""
)</f>
        <v/>
      </c>
    </row>
    <row r="193" ht="22.5" customHeight="1">
      <c r="A193" s="21">
        <v>192.0</v>
      </c>
      <c r="B193" s="22">
        <v>42461.0</v>
      </c>
      <c r="C193" s="23">
        <v>97.0</v>
      </c>
      <c r="D193" s="24" t="s">
        <v>130</v>
      </c>
      <c r="E193" s="35" t="s">
        <v>18</v>
      </c>
      <c r="F193" s="26"/>
      <c r="G193" s="36" t="s">
        <v>42</v>
      </c>
      <c r="H193" s="28">
        <v>194.0</v>
      </c>
      <c r="I193" s="28">
        <v>7381.444342596534</v>
      </c>
      <c r="J193" s="29">
        <v>1432000.2024637274</v>
      </c>
      <c r="K193" s="29">
        <v>7381.444342596534</v>
      </c>
      <c r="L193" s="30">
        <v>30771.1</v>
      </c>
      <c r="M193" s="29">
        <v>2.2713516201047218E8</v>
      </c>
      <c r="N193" s="31" t="s">
        <v>264</v>
      </c>
      <c r="O193" s="32"/>
      <c r="P193" s="33" t="str">
        <f t="array" ref="P193">IFERROR(
HYPERLINK(
"https://drive.google.com/file/d/"&amp;
XLOOKUP(O193,'Hoa-Don'!A:A,'Hoa-Don'!D:D)
&amp;"/view",
"🔎"
),
""
)</f>
        <v/>
      </c>
    </row>
    <row r="194" ht="22.5" customHeight="1">
      <c r="A194" s="21">
        <v>193.0</v>
      </c>
      <c r="B194" s="22">
        <v>42462.0</v>
      </c>
      <c r="C194" s="23">
        <v>98.0</v>
      </c>
      <c r="D194" s="24" t="s">
        <v>130</v>
      </c>
      <c r="E194" s="35" t="s">
        <v>18</v>
      </c>
      <c r="F194" s="26"/>
      <c r="G194" s="36" t="s">
        <v>42</v>
      </c>
      <c r="H194" s="28">
        <v>248.0</v>
      </c>
      <c r="I194" s="28">
        <v>7381.444342596534</v>
      </c>
      <c r="J194" s="29">
        <v>1830598.1969639403</v>
      </c>
      <c r="K194" s="29">
        <v>7381.444342596534</v>
      </c>
      <c r="L194" s="30">
        <v>30523.1</v>
      </c>
      <c r="M194" s="29">
        <v>2.2530456381350824E8</v>
      </c>
      <c r="N194" s="31" t="s">
        <v>265</v>
      </c>
      <c r="O194" s="32"/>
      <c r="P194" s="33" t="str">
        <f t="array" ref="P194">IFERROR(
HYPERLINK(
"https://drive.google.com/file/d/"&amp;
XLOOKUP(O194,'Hoa-Don'!A:A,'Hoa-Don'!D:D)
&amp;"/view",
"🔎"
),
""
)</f>
        <v/>
      </c>
    </row>
    <row r="195" ht="22.5" customHeight="1">
      <c r="A195" s="21">
        <v>194.0</v>
      </c>
      <c r="B195" s="22">
        <v>42462.0</v>
      </c>
      <c r="C195" s="23">
        <v>99.0</v>
      </c>
      <c r="D195" s="24" t="s">
        <v>130</v>
      </c>
      <c r="E195" s="25" t="s">
        <v>11</v>
      </c>
      <c r="F195" s="26"/>
      <c r="G195" s="36" t="s">
        <v>42</v>
      </c>
      <c r="H195" s="28">
        <v>301.0</v>
      </c>
      <c r="I195" s="28">
        <v>9203.126301632394</v>
      </c>
      <c r="J195" s="29">
        <v>2770141.0167913507</v>
      </c>
      <c r="K195" s="29">
        <v>9203.126301632394</v>
      </c>
      <c r="L195" s="30">
        <v>70849.7</v>
      </c>
      <c r="M195" s="29">
        <v>6.520387375327646E8</v>
      </c>
      <c r="N195" s="31" t="s">
        <v>266</v>
      </c>
      <c r="O195" s="32"/>
      <c r="P195" s="33" t="str">
        <f t="array" ref="P195">IFERROR(
HYPERLINK(
"https://drive.google.com/file/d/"&amp;
XLOOKUP(O195,'Hoa-Don'!A:A,'Hoa-Don'!D:D)
&amp;"/view",
"🔎"
),
""
)</f>
        <v/>
      </c>
    </row>
    <row r="196" ht="22.5" customHeight="1">
      <c r="A196" s="21">
        <v>195.0</v>
      </c>
      <c r="B196" s="22">
        <v>42463.0</v>
      </c>
      <c r="C196" s="23">
        <v>100.0</v>
      </c>
      <c r="D196" s="24" t="s">
        <v>93</v>
      </c>
      <c r="E196" s="25" t="s">
        <v>11</v>
      </c>
      <c r="F196" s="26"/>
      <c r="G196" s="36" t="s">
        <v>42</v>
      </c>
      <c r="H196" s="28">
        <v>2360.0</v>
      </c>
      <c r="I196" s="28">
        <v>9203.126301632394</v>
      </c>
      <c r="J196" s="29">
        <v>2.171937807185245E7</v>
      </c>
      <c r="K196" s="29">
        <v>9203.126301632394</v>
      </c>
      <c r="L196" s="30">
        <v>68489.7</v>
      </c>
      <c r="M196" s="29">
        <v>6.303193594609121E8</v>
      </c>
      <c r="N196" s="31" t="s">
        <v>267</v>
      </c>
      <c r="O196" s="32"/>
      <c r="P196" s="33" t="str">
        <f t="array" ref="P196">IFERROR(
HYPERLINK(
"https://drive.google.com/file/d/"&amp;
XLOOKUP(O196,'Hoa-Don'!A:A,'Hoa-Don'!D:D)
&amp;"/view",
"🔎"
),
""
)</f>
        <v/>
      </c>
    </row>
    <row r="197" ht="22.5" customHeight="1">
      <c r="A197" s="21">
        <v>196.0</v>
      </c>
      <c r="B197" s="22">
        <v>42463.0</v>
      </c>
      <c r="C197" s="23">
        <v>100.0</v>
      </c>
      <c r="D197" s="24" t="s">
        <v>93</v>
      </c>
      <c r="E197" s="25" t="s">
        <v>11</v>
      </c>
      <c r="F197" s="26"/>
      <c r="G197" s="36" t="s">
        <v>42</v>
      </c>
      <c r="H197" s="28">
        <v>5376.0</v>
      </c>
      <c r="I197" s="28">
        <v>9203.126301632394</v>
      </c>
      <c r="J197" s="29">
        <v>4.9476006997575745E7</v>
      </c>
      <c r="K197" s="29">
        <v>9203.126301632394</v>
      </c>
      <c r="L197" s="30">
        <v>63113.7</v>
      </c>
      <c r="M197" s="29">
        <v>5.808433524633363E8</v>
      </c>
      <c r="N197" s="31" t="s">
        <v>268</v>
      </c>
      <c r="O197" s="32"/>
      <c r="P197" s="33" t="str">
        <f t="array" ref="P197">IFERROR(
HYPERLINK(
"https://drive.google.com/file/d/"&amp;
XLOOKUP(O197,'Hoa-Don'!A:A,'Hoa-Don'!D:D)
&amp;"/view",
"🔎"
),
""
)</f>
        <v/>
      </c>
    </row>
    <row r="198" ht="22.5" customHeight="1">
      <c r="A198" s="21">
        <v>197.0</v>
      </c>
      <c r="B198" s="22">
        <v>42463.0</v>
      </c>
      <c r="C198" s="23">
        <v>100.0</v>
      </c>
      <c r="D198" s="24" t="s">
        <v>93</v>
      </c>
      <c r="E198" s="25" t="s">
        <v>11</v>
      </c>
      <c r="F198" s="26"/>
      <c r="G198" s="36" t="s">
        <v>42</v>
      </c>
      <c r="H198" s="28">
        <v>1650.0</v>
      </c>
      <c r="I198" s="28">
        <v>9203.126301632394</v>
      </c>
      <c r="J198" s="29">
        <v>1.518515839769345E7</v>
      </c>
      <c r="K198" s="29">
        <v>9203.126301632394</v>
      </c>
      <c r="L198" s="30">
        <v>61463.7</v>
      </c>
      <c r="M198" s="29">
        <v>5.65658194065643E8</v>
      </c>
      <c r="N198" s="31" t="s">
        <v>269</v>
      </c>
      <c r="O198" s="32"/>
      <c r="P198" s="33" t="str">
        <f t="array" ref="P198">IFERROR(
HYPERLINK(
"https://drive.google.com/file/d/"&amp;
XLOOKUP(O198,'Hoa-Don'!A:A,'Hoa-Don'!D:D)
&amp;"/view",
"🔎"
),
""
)</f>
        <v/>
      </c>
    </row>
    <row r="199" ht="22.5" customHeight="1">
      <c r="A199" s="21">
        <v>198.0</v>
      </c>
      <c r="B199" s="22">
        <v>42464.0</v>
      </c>
      <c r="C199" s="23">
        <v>316.0</v>
      </c>
      <c r="D199" s="24" t="s">
        <v>155</v>
      </c>
      <c r="E199" s="35" t="s">
        <v>18</v>
      </c>
      <c r="F199" s="26"/>
      <c r="G199" s="27" t="s">
        <v>38</v>
      </c>
      <c r="H199" s="28">
        <v>7590.0</v>
      </c>
      <c r="I199" s="28">
        <v>7454.55</v>
      </c>
      <c r="J199" s="29">
        <v>5.65800345E7</v>
      </c>
      <c r="K199" s="29">
        <v>7396.002904867572</v>
      </c>
      <c r="L199" s="30">
        <v>38113.1</v>
      </c>
      <c r="M199" s="29">
        <v>2.818845983135083E8</v>
      </c>
      <c r="N199" s="31" t="s">
        <v>270</v>
      </c>
      <c r="O199" s="32"/>
      <c r="P199" s="33" t="str">
        <f t="array" ref="P199">IFERROR(
HYPERLINK(
"https://drive.google.com/file/d/"&amp;
XLOOKUP(O199,'Hoa-Don'!A:A,'Hoa-Don'!D:D)
&amp;"/view",
"🔎"
),
""
)</f>
        <v/>
      </c>
    </row>
    <row r="200" ht="22.5" customHeight="1">
      <c r="A200" s="21">
        <v>199.0</v>
      </c>
      <c r="B200" s="22">
        <v>42465.0</v>
      </c>
      <c r="C200" s="23">
        <v>983.0</v>
      </c>
      <c r="D200" s="24" t="s">
        <v>253</v>
      </c>
      <c r="E200" s="25" t="s">
        <v>11</v>
      </c>
      <c r="F200" s="26"/>
      <c r="G200" s="27" t="s">
        <v>38</v>
      </c>
      <c r="H200" s="28">
        <v>1256.0</v>
      </c>
      <c r="I200" s="28">
        <v>9181.82</v>
      </c>
      <c r="J200" s="29">
        <v>1.153236592E7</v>
      </c>
      <c r="K200" s="29">
        <v>9202.699630030802</v>
      </c>
      <c r="L200" s="30">
        <v>62719.7</v>
      </c>
      <c r="M200" s="29">
        <v>5.771905599856429E8</v>
      </c>
      <c r="N200" s="31" t="s">
        <v>271</v>
      </c>
      <c r="O200" s="32"/>
      <c r="P200" s="33" t="str">
        <f t="array" ref="P200">IFERROR(
HYPERLINK(
"https://drive.google.com/file/d/"&amp;
XLOOKUP(O200,'Hoa-Don'!A:A,'Hoa-Don'!D:D)
&amp;"/view",
"🔎"
),
""
)</f>
        <v/>
      </c>
    </row>
    <row r="201" ht="22.5" customHeight="1">
      <c r="A201" s="21">
        <v>200.0</v>
      </c>
      <c r="B201" s="22">
        <v>42465.0</v>
      </c>
      <c r="C201" s="23">
        <v>983.0</v>
      </c>
      <c r="D201" s="24" t="s">
        <v>253</v>
      </c>
      <c r="E201" s="25" t="s">
        <v>11</v>
      </c>
      <c r="F201" s="26"/>
      <c r="G201" s="27" t="s">
        <v>38</v>
      </c>
      <c r="H201" s="28">
        <v>1356.0</v>
      </c>
      <c r="I201" s="28">
        <v>9181.82</v>
      </c>
      <c r="J201" s="29">
        <v>1.245054792E7</v>
      </c>
      <c r="K201" s="29">
        <v>9202.2577655124</v>
      </c>
      <c r="L201" s="30">
        <v>64075.7</v>
      </c>
      <c r="M201" s="29">
        <v>5.896411079056429E8</v>
      </c>
      <c r="N201" s="31" t="s">
        <v>272</v>
      </c>
      <c r="O201" s="32"/>
      <c r="P201" s="33" t="str">
        <f t="array" ref="P201">IFERROR(
HYPERLINK(
"https://drive.google.com/file/d/"&amp;
XLOOKUP(O201,'Hoa-Don'!A:A,'Hoa-Don'!D:D)
&amp;"/view",
"🔎"
),
""
)</f>
        <v/>
      </c>
    </row>
    <row r="202" ht="22.5" customHeight="1">
      <c r="A202" s="21">
        <v>201.0</v>
      </c>
      <c r="B202" s="22">
        <v>42465.0</v>
      </c>
      <c r="C202" s="23">
        <v>983.0</v>
      </c>
      <c r="D202" s="24" t="s">
        <v>253</v>
      </c>
      <c r="E202" s="25" t="s">
        <v>11</v>
      </c>
      <c r="F202" s="26"/>
      <c r="G202" s="27" t="s">
        <v>38</v>
      </c>
      <c r="H202" s="28">
        <v>848.0</v>
      </c>
      <c r="I202" s="28">
        <v>9181.82</v>
      </c>
      <c r="J202" s="29">
        <v>7786183.359999999</v>
      </c>
      <c r="K202" s="29">
        <v>9201.990817923854</v>
      </c>
      <c r="L202" s="30">
        <v>64923.7</v>
      </c>
      <c r="M202" s="29">
        <v>5.974272912656429E8</v>
      </c>
      <c r="N202" s="31" t="s">
        <v>273</v>
      </c>
      <c r="O202" s="32"/>
      <c r="P202" s="33" t="str">
        <f t="array" ref="P202">IFERROR(
HYPERLINK(
"https://drive.google.com/file/d/"&amp;
XLOOKUP(O202,'Hoa-Don'!A:A,'Hoa-Don'!D:D)
&amp;"/view",
"🔎"
),
""
)</f>
        <v/>
      </c>
    </row>
    <row r="203" ht="22.5" customHeight="1">
      <c r="A203" s="21">
        <v>202.0</v>
      </c>
      <c r="B203" s="22">
        <v>42465.0</v>
      </c>
      <c r="C203" s="23">
        <v>983.0</v>
      </c>
      <c r="D203" s="24" t="s">
        <v>253</v>
      </c>
      <c r="E203" s="35" t="s">
        <v>18</v>
      </c>
      <c r="F203" s="26"/>
      <c r="G203" s="27" t="s">
        <v>38</v>
      </c>
      <c r="H203" s="28">
        <v>1376.0</v>
      </c>
      <c r="I203" s="28">
        <v>8545.45</v>
      </c>
      <c r="J203" s="29">
        <v>1.1758539200000001E7</v>
      </c>
      <c r="K203" s="29">
        <v>7436.055456151401</v>
      </c>
      <c r="L203" s="30">
        <v>39489.1</v>
      </c>
      <c r="M203" s="29">
        <v>2.9364313751350826E8</v>
      </c>
      <c r="N203" s="31" t="s">
        <v>274</v>
      </c>
      <c r="O203" s="32"/>
      <c r="P203" s="33" t="str">
        <f t="array" ref="P203">IFERROR(
HYPERLINK(
"https://drive.google.com/file/d/"&amp;
XLOOKUP(O203,'Hoa-Don'!A:A,'Hoa-Don'!D:D)
&amp;"/view",
"🔎"
),
""
)</f>
        <v/>
      </c>
    </row>
    <row r="204" ht="22.5" customHeight="1">
      <c r="A204" s="21">
        <v>203.0</v>
      </c>
      <c r="B204" s="22">
        <v>42465.0</v>
      </c>
      <c r="C204" s="23">
        <v>983.0</v>
      </c>
      <c r="D204" s="24" t="s">
        <v>253</v>
      </c>
      <c r="E204" s="35" t="s">
        <v>18</v>
      </c>
      <c r="F204" s="26"/>
      <c r="G204" s="27" t="s">
        <v>38</v>
      </c>
      <c r="H204" s="28">
        <v>1092.0</v>
      </c>
      <c r="I204" s="28">
        <v>8545.45</v>
      </c>
      <c r="J204" s="29">
        <v>9331631.4</v>
      </c>
      <c r="K204" s="29">
        <v>7465.908240868489</v>
      </c>
      <c r="L204" s="30">
        <v>40581.1</v>
      </c>
      <c r="M204" s="29">
        <v>3.0297476891350824E8</v>
      </c>
      <c r="N204" s="31" t="s">
        <v>275</v>
      </c>
      <c r="O204" s="32"/>
      <c r="P204" s="33" t="str">
        <f t="array" ref="P204">IFERROR(
HYPERLINK(
"https://drive.google.com/file/d/"&amp;
XLOOKUP(O204,'Hoa-Don'!A:A,'Hoa-Don'!D:D)
&amp;"/view",
"🔎"
),
""
)</f>
        <v/>
      </c>
    </row>
    <row r="205" ht="22.5" customHeight="1">
      <c r="A205" s="21">
        <v>204.0</v>
      </c>
      <c r="B205" s="22">
        <v>42465.0</v>
      </c>
      <c r="C205" s="23">
        <v>983.0</v>
      </c>
      <c r="D205" s="24" t="s">
        <v>253</v>
      </c>
      <c r="E205" s="35" t="s">
        <v>18</v>
      </c>
      <c r="F205" s="26"/>
      <c r="G205" s="27" t="s">
        <v>38</v>
      </c>
      <c r="H205" s="28">
        <v>4096.0</v>
      </c>
      <c r="I205" s="28">
        <v>8545.45</v>
      </c>
      <c r="J205" s="29">
        <v>3.50021632E7</v>
      </c>
      <c r="K205" s="29">
        <v>7564.880713240301</v>
      </c>
      <c r="L205" s="30">
        <v>44677.1</v>
      </c>
      <c r="M205" s="29">
        <v>3.379769321135082E8</v>
      </c>
      <c r="N205" s="31" t="s">
        <v>276</v>
      </c>
      <c r="O205" s="32"/>
      <c r="P205" s="33" t="str">
        <f t="array" ref="P205">IFERROR(
HYPERLINK(
"https://drive.google.com/file/d/"&amp;
XLOOKUP(O205,'Hoa-Don'!A:A,'Hoa-Don'!D:D)
&amp;"/view",
"🔎"
),
""
)</f>
        <v/>
      </c>
    </row>
    <row r="206" ht="22.5" customHeight="1">
      <c r="A206" s="21">
        <v>205.0</v>
      </c>
      <c r="B206" s="22">
        <v>42466.0</v>
      </c>
      <c r="C206" s="23">
        <v>2444.0</v>
      </c>
      <c r="D206" s="24" t="s">
        <v>86</v>
      </c>
      <c r="E206" s="25" t="s">
        <v>11</v>
      </c>
      <c r="F206" s="26"/>
      <c r="G206" s="27" t="s">
        <v>38</v>
      </c>
      <c r="H206" s="28">
        <v>9976.67</v>
      </c>
      <c r="I206" s="28">
        <v>8909.09</v>
      </c>
      <c r="J206" s="29">
        <v>8.88830509303E7</v>
      </c>
      <c r="K206" s="29">
        <v>9162.97666080879</v>
      </c>
      <c r="L206" s="30">
        <v>74900.37</v>
      </c>
      <c r="M206" s="29">
        <v>6.863103421959429E8</v>
      </c>
      <c r="N206" s="31" t="s">
        <v>277</v>
      </c>
      <c r="O206" s="32"/>
      <c r="P206" s="33" t="str">
        <f t="array" ref="P206">IFERROR(
HYPERLINK(
"https://drive.google.com/file/d/"&amp;
XLOOKUP(O206,'Hoa-Don'!A:A,'Hoa-Don'!D:D)
&amp;"/view",
"🔎"
),
""
)</f>
        <v/>
      </c>
    </row>
    <row r="207" ht="22.5" customHeight="1">
      <c r="A207" s="21">
        <v>206.0</v>
      </c>
      <c r="B207" s="22">
        <v>42489.0</v>
      </c>
      <c r="C207" s="23">
        <v>101.0</v>
      </c>
      <c r="D207" s="24" t="s">
        <v>61</v>
      </c>
      <c r="E207" s="25" t="s">
        <v>11</v>
      </c>
      <c r="F207" s="26"/>
      <c r="G207" s="36" t="s">
        <v>42</v>
      </c>
      <c r="H207" s="28">
        <v>111.0</v>
      </c>
      <c r="I207" s="28">
        <v>9162.97666080879</v>
      </c>
      <c r="J207" s="29">
        <v>1017090.4093497758</v>
      </c>
      <c r="K207" s="29">
        <v>9162.97666080879</v>
      </c>
      <c r="L207" s="30">
        <v>74789.37</v>
      </c>
      <c r="M207" s="29">
        <v>6.852932517865931E8</v>
      </c>
      <c r="N207" s="31" t="s">
        <v>278</v>
      </c>
      <c r="O207" s="32"/>
      <c r="P207" s="33" t="str">
        <f t="array" ref="P207">IFERROR(
HYPERLINK(
"https://drive.google.com/file/d/"&amp;
XLOOKUP(O207,'Hoa-Don'!A:A,'Hoa-Don'!D:D)
&amp;"/view",
"🔎"
),
""
)</f>
        <v/>
      </c>
    </row>
    <row r="208" ht="22.5" customHeight="1">
      <c r="A208" s="21">
        <v>207.0</v>
      </c>
      <c r="B208" s="22">
        <v>42496.0</v>
      </c>
      <c r="C208" s="23">
        <v>227.0</v>
      </c>
      <c r="D208" s="24" t="s">
        <v>86</v>
      </c>
      <c r="E208" s="35" t="s">
        <v>18</v>
      </c>
      <c r="F208" s="26"/>
      <c r="G208" s="27" t="s">
        <v>38</v>
      </c>
      <c r="H208" s="28">
        <v>800.0</v>
      </c>
      <c r="I208" s="28">
        <v>10727.27</v>
      </c>
      <c r="J208" s="29">
        <v>8581816.0</v>
      </c>
      <c r="K208" s="29">
        <v>7620.511160859163</v>
      </c>
      <c r="L208" s="30">
        <v>45477.1</v>
      </c>
      <c r="M208" s="29">
        <v>3.465587481135082E8</v>
      </c>
      <c r="N208" s="31" t="s">
        <v>279</v>
      </c>
      <c r="O208" s="32"/>
      <c r="P208" s="33" t="str">
        <f t="array" ref="P208">IFERROR(
HYPERLINK(
"https://drive.google.com/file/d/"&amp;
XLOOKUP(O208,'Hoa-Don'!A:A,'Hoa-Don'!D:D)
&amp;"/view",
"🔎"
),
""
)</f>
        <v/>
      </c>
    </row>
    <row r="209" ht="22.5" customHeight="1">
      <c r="A209" s="21">
        <v>208.0</v>
      </c>
      <c r="B209" s="22">
        <v>42496.0</v>
      </c>
      <c r="C209" s="23">
        <v>1121.0</v>
      </c>
      <c r="D209" s="24" t="s">
        <v>253</v>
      </c>
      <c r="E209" s="35" t="s">
        <v>18</v>
      </c>
      <c r="F209" s="26"/>
      <c r="G209" s="27" t="s">
        <v>38</v>
      </c>
      <c r="H209" s="28">
        <v>2790.0</v>
      </c>
      <c r="I209" s="28">
        <v>10000.0</v>
      </c>
      <c r="J209" s="29">
        <v>2.79E7</v>
      </c>
      <c r="K209" s="29">
        <v>7758.053583362336</v>
      </c>
      <c r="L209" s="30">
        <v>48267.1</v>
      </c>
      <c r="M209" s="29">
        <v>3.744587481135082E8</v>
      </c>
      <c r="N209" s="31" t="s">
        <v>280</v>
      </c>
      <c r="O209" s="32"/>
      <c r="P209" s="33" t="str">
        <f t="array" ref="P209">IFERROR(
HYPERLINK(
"https://drive.google.com/file/d/"&amp;
XLOOKUP(O209,'Hoa-Don'!A:A,'Hoa-Don'!D:D)
&amp;"/view",
"🔎"
),
""
)</f>
        <v/>
      </c>
    </row>
    <row r="210" ht="22.5" customHeight="1">
      <c r="A210" s="21">
        <v>209.0</v>
      </c>
      <c r="B210" s="22">
        <v>42496.0</v>
      </c>
      <c r="C210" s="23">
        <v>1121.0</v>
      </c>
      <c r="D210" s="24" t="s">
        <v>253</v>
      </c>
      <c r="E210" s="35" t="s">
        <v>18</v>
      </c>
      <c r="F210" s="26"/>
      <c r="G210" s="27" t="s">
        <v>38</v>
      </c>
      <c r="H210" s="28">
        <v>2232.0</v>
      </c>
      <c r="I210" s="28">
        <v>10000.0</v>
      </c>
      <c r="J210" s="29">
        <v>2.232E7</v>
      </c>
      <c r="K210" s="29">
        <v>7857.144941464467</v>
      </c>
      <c r="L210" s="30">
        <v>50499.1</v>
      </c>
      <c r="M210" s="29">
        <v>3.967787481135082E8</v>
      </c>
      <c r="N210" s="31" t="s">
        <v>281</v>
      </c>
      <c r="O210" s="32"/>
      <c r="P210" s="33" t="str">
        <f t="array" ref="P210">IFERROR(
HYPERLINK(
"https://drive.google.com/file/d/"&amp;
XLOOKUP(O210,'Hoa-Don'!A:A,'Hoa-Don'!D:D)
&amp;"/view",
"🔎"
),
""
)</f>
        <v/>
      </c>
    </row>
    <row r="211" ht="22.5" customHeight="1">
      <c r="A211" s="21">
        <v>210.0</v>
      </c>
      <c r="B211" s="22">
        <v>42496.0</v>
      </c>
      <c r="C211" s="23">
        <v>1121.0</v>
      </c>
      <c r="D211" s="24" t="s">
        <v>253</v>
      </c>
      <c r="E211" s="35" t="s">
        <v>18</v>
      </c>
      <c r="F211" s="26"/>
      <c r="G211" s="27" t="s">
        <v>38</v>
      </c>
      <c r="H211" s="28">
        <v>1040.0</v>
      </c>
      <c r="I211" s="28">
        <v>10272.73</v>
      </c>
      <c r="J211" s="29">
        <v>1.06836392E7</v>
      </c>
      <c r="K211" s="29">
        <v>7905.888680894859</v>
      </c>
      <c r="L211" s="30">
        <v>51539.1</v>
      </c>
      <c r="M211" s="29">
        <v>4.074623873135082E8</v>
      </c>
      <c r="N211" s="31" t="s">
        <v>282</v>
      </c>
      <c r="O211" s="32"/>
      <c r="P211" s="33" t="str">
        <f t="array" ref="P211">IFERROR(
HYPERLINK(
"https://drive.google.com/file/d/"&amp;
XLOOKUP(O211,'Hoa-Don'!A:A,'Hoa-Don'!D:D)
&amp;"/view",
"🔎"
),
""
)</f>
        <v/>
      </c>
    </row>
    <row r="212" ht="22.5" customHeight="1">
      <c r="A212" s="21">
        <v>211.0</v>
      </c>
      <c r="B212" s="22">
        <v>42504.0</v>
      </c>
      <c r="C212" s="23">
        <v>102.0</v>
      </c>
      <c r="D212" s="24" t="s">
        <v>115</v>
      </c>
      <c r="E212" s="35" t="s">
        <v>18</v>
      </c>
      <c r="F212" s="26"/>
      <c r="G212" s="36" t="s">
        <v>42</v>
      </c>
      <c r="H212" s="28">
        <v>715.0</v>
      </c>
      <c r="I212" s="28">
        <v>7905.888680894859</v>
      </c>
      <c r="J212" s="29">
        <v>5652710.406839824</v>
      </c>
      <c r="K212" s="29">
        <v>7905.888680894859</v>
      </c>
      <c r="L212" s="30">
        <v>50824.1</v>
      </c>
      <c r="M212" s="29">
        <v>4.018096769066684E8</v>
      </c>
      <c r="N212" s="31" t="s">
        <v>283</v>
      </c>
      <c r="O212" s="32"/>
      <c r="P212" s="33" t="str">
        <f t="array" ref="P212">IFERROR(
HYPERLINK(
"https://drive.google.com/file/d/"&amp;
XLOOKUP(O212,'Hoa-Don'!A:A,'Hoa-Don'!D:D)
&amp;"/view",
"🔎"
),
""
)</f>
        <v/>
      </c>
    </row>
    <row r="213" ht="22.5" customHeight="1">
      <c r="A213" s="21">
        <v>212.0</v>
      </c>
      <c r="B213" s="22">
        <v>42510.0</v>
      </c>
      <c r="C213" s="23">
        <v>103.0</v>
      </c>
      <c r="D213" s="24" t="s">
        <v>261</v>
      </c>
      <c r="E213" s="35" t="s">
        <v>18</v>
      </c>
      <c r="F213" s="26"/>
      <c r="G213" s="36" t="s">
        <v>42</v>
      </c>
      <c r="H213" s="28">
        <v>1600.0</v>
      </c>
      <c r="I213" s="28">
        <v>7905.888680894859</v>
      </c>
      <c r="J213" s="29">
        <v>1.2649421889431775E7</v>
      </c>
      <c r="K213" s="29">
        <v>7905.888680894859</v>
      </c>
      <c r="L213" s="30">
        <v>49224.1</v>
      </c>
      <c r="M213" s="29">
        <v>3.8916025501723665E8</v>
      </c>
      <c r="N213" s="31" t="s">
        <v>284</v>
      </c>
      <c r="O213" s="32"/>
      <c r="P213" s="33" t="str">
        <f t="array" ref="P213">IFERROR(
HYPERLINK(
"https://drive.google.com/file/d/"&amp;
XLOOKUP(O213,'Hoa-Don'!A:A,'Hoa-Don'!D:D)
&amp;"/view",
"🔎"
),
""
)</f>
        <v/>
      </c>
    </row>
    <row r="214" ht="22.5" customHeight="1">
      <c r="A214" s="21">
        <v>213.0</v>
      </c>
      <c r="B214" s="22">
        <v>42512.0</v>
      </c>
      <c r="C214" s="23">
        <v>104.0</v>
      </c>
      <c r="D214" s="24" t="s">
        <v>285</v>
      </c>
      <c r="E214" s="35" t="s">
        <v>18</v>
      </c>
      <c r="F214" s="26"/>
      <c r="G214" s="36" t="s">
        <v>42</v>
      </c>
      <c r="H214" s="28">
        <v>1250.0</v>
      </c>
      <c r="I214" s="28">
        <v>7905.888680894859</v>
      </c>
      <c r="J214" s="29">
        <v>9882360.851118574</v>
      </c>
      <c r="K214" s="29">
        <v>7905.888680894859</v>
      </c>
      <c r="L214" s="30">
        <v>47974.1</v>
      </c>
      <c r="M214" s="29">
        <v>3.79277894166118E8</v>
      </c>
      <c r="N214" s="31" t="s">
        <v>286</v>
      </c>
      <c r="O214" s="32"/>
      <c r="P214" s="33" t="str">
        <f t="array" ref="P214">IFERROR(
HYPERLINK(
"https://drive.google.com/file/d/"&amp;
XLOOKUP(O214,'Hoa-Don'!A:A,'Hoa-Don'!D:D)
&amp;"/view",
"🔎"
),
""
)</f>
        <v/>
      </c>
    </row>
    <row r="215" ht="22.5" customHeight="1">
      <c r="A215" s="21">
        <v>214.0</v>
      </c>
      <c r="B215" s="22">
        <v>42513.0</v>
      </c>
      <c r="C215" s="23">
        <v>364.0</v>
      </c>
      <c r="D215" s="24" t="s">
        <v>86</v>
      </c>
      <c r="E215" s="25" t="s">
        <v>11</v>
      </c>
      <c r="F215" s="26"/>
      <c r="G215" s="27" t="s">
        <v>38</v>
      </c>
      <c r="H215" s="28">
        <v>7560.0</v>
      </c>
      <c r="I215" s="28">
        <v>10768.4</v>
      </c>
      <c r="J215" s="29">
        <v>8.1409104E7</v>
      </c>
      <c r="K215" s="29">
        <v>9310.360914559433</v>
      </c>
      <c r="L215" s="30">
        <v>82349.37</v>
      </c>
      <c r="M215" s="29">
        <v>7.667023557865931E8</v>
      </c>
      <c r="N215" s="31" t="s">
        <v>287</v>
      </c>
      <c r="O215" s="32"/>
      <c r="P215" s="33" t="str">
        <f t="array" ref="P215">IFERROR(
HYPERLINK(
"https://drive.google.com/file/d/"&amp;
XLOOKUP(O215,'Hoa-Don'!A:A,'Hoa-Don'!D:D)
&amp;"/view",
"🔎"
),
""
)</f>
        <v/>
      </c>
    </row>
    <row r="216" ht="22.5" customHeight="1">
      <c r="A216" s="21">
        <v>215.0</v>
      </c>
      <c r="B216" s="22">
        <v>42518.0</v>
      </c>
      <c r="C216" s="23">
        <v>105.0</v>
      </c>
      <c r="D216" s="24" t="s">
        <v>93</v>
      </c>
      <c r="E216" s="35" t="s">
        <v>18</v>
      </c>
      <c r="F216" s="26"/>
      <c r="G216" s="36" t="s">
        <v>42</v>
      </c>
      <c r="H216" s="28">
        <v>5347.5</v>
      </c>
      <c r="I216" s="28">
        <v>7905.888680894859</v>
      </c>
      <c r="J216" s="29">
        <v>4.227673972108526E7</v>
      </c>
      <c r="K216" s="29">
        <v>7905.888680894859</v>
      </c>
      <c r="L216" s="30">
        <v>42626.6</v>
      </c>
      <c r="M216" s="29">
        <v>3.370011544450328E8</v>
      </c>
      <c r="N216" s="31" t="s">
        <v>288</v>
      </c>
      <c r="O216" s="32"/>
      <c r="P216" s="33" t="str">
        <f t="array" ref="P216">IFERROR(
HYPERLINK(
"https://drive.google.com/file/d/"&amp;
XLOOKUP(O216,'Hoa-Don'!A:A,'Hoa-Don'!D:D)
&amp;"/view",
"🔎"
),
""
)</f>
        <v/>
      </c>
    </row>
    <row r="217" ht="22.5" customHeight="1">
      <c r="A217" s="21">
        <v>216.0</v>
      </c>
      <c r="B217" s="22">
        <v>42518.0</v>
      </c>
      <c r="C217" s="23">
        <v>106.0</v>
      </c>
      <c r="D217" s="24" t="s">
        <v>130</v>
      </c>
      <c r="E217" s="35" t="s">
        <v>18</v>
      </c>
      <c r="F217" s="26"/>
      <c r="G217" s="36" t="s">
        <v>42</v>
      </c>
      <c r="H217" s="28">
        <v>302.0</v>
      </c>
      <c r="I217" s="28">
        <v>7905.888680894859</v>
      </c>
      <c r="J217" s="29">
        <v>2387578.3816302475</v>
      </c>
      <c r="K217" s="29">
        <v>7905.888680894859</v>
      </c>
      <c r="L217" s="30">
        <v>42324.6</v>
      </c>
      <c r="M217" s="29">
        <v>3.3461357606340253E8</v>
      </c>
      <c r="N217" s="31" t="s">
        <v>289</v>
      </c>
      <c r="O217" s="32"/>
      <c r="P217" s="33" t="str">
        <f t="array" ref="P217">IFERROR(
HYPERLINK(
"https://drive.google.com/file/d/"&amp;
XLOOKUP(O217,'Hoa-Don'!A:A,'Hoa-Don'!D:D)
&amp;"/view",
"🔎"
),
""
)</f>
        <v/>
      </c>
    </row>
    <row r="218" ht="22.5" customHeight="1">
      <c r="A218" s="21">
        <v>217.0</v>
      </c>
      <c r="B218" s="22">
        <v>42522.0</v>
      </c>
      <c r="C218" s="23">
        <v>107.0</v>
      </c>
      <c r="D218" s="24" t="s">
        <v>130</v>
      </c>
      <c r="E218" s="35" t="s">
        <v>18</v>
      </c>
      <c r="F218" s="26"/>
      <c r="G218" s="36" t="s">
        <v>42</v>
      </c>
      <c r="H218" s="28">
        <v>186.0</v>
      </c>
      <c r="I218" s="28">
        <v>7905.888680894859</v>
      </c>
      <c r="J218" s="29">
        <v>1470495.2946464438</v>
      </c>
      <c r="K218" s="29">
        <v>7905.888680894859</v>
      </c>
      <c r="L218" s="30">
        <v>42138.6</v>
      </c>
      <c r="M218" s="29">
        <v>3.331430807687561E8</v>
      </c>
      <c r="N218" s="31" t="s">
        <v>290</v>
      </c>
      <c r="O218" s="32"/>
      <c r="P218" s="33" t="str">
        <f t="array" ref="P218">IFERROR(
HYPERLINK(
"https://drive.google.com/file/d/"&amp;
XLOOKUP(O218,'Hoa-Don'!A:A,'Hoa-Don'!D:D)
&amp;"/view",
"🔎"
),
""
)</f>
        <v/>
      </c>
    </row>
    <row r="219" ht="22.5" customHeight="1">
      <c r="A219" s="21">
        <v>218.0</v>
      </c>
      <c r="B219" s="22">
        <v>42523.0</v>
      </c>
      <c r="C219" s="23">
        <v>108.0</v>
      </c>
      <c r="D219" s="24" t="s">
        <v>261</v>
      </c>
      <c r="E219" s="35" t="s">
        <v>18</v>
      </c>
      <c r="F219" s="26"/>
      <c r="G219" s="36" t="s">
        <v>42</v>
      </c>
      <c r="H219" s="28">
        <v>1502.0</v>
      </c>
      <c r="I219" s="28">
        <v>7905.888680894859</v>
      </c>
      <c r="J219" s="29">
        <v>1.1874644798704078E7</v>
      </c>
      <c r="K219" s="29">
        <v>7905.888680894859</v>
      </c>
      <c r="L219" s="30">
        <v>40636.6</v>
      </c>
      <c r="M219" s="29">
        <v>3.21268435970052E8</v>
      </c>
      <c r="N219" s="31" t="s">
        <v>291</v>
      </c>
      <c r="O219" s="32"/>
      <c r="P219" s="33" t="str">
        <f t="array" ref="P219">IFERROR(
HYPERLINK(
"https://drive.google.com/file/d/"&amp;
XLOOKUP(O219,'Hoa-Don'!A:A,'Hoa-Don'!D:D)
&amp;"/view",
"🔎"
),
""
)</f>
        <v/>
      </c>
    </row>
    <row r="220" ht="22.5" customHeight="1">
      <c r="A220" s="21">
        <v>219.0</v>
      </c>
      <c r="B220" s="22">
        <v>42525.0</v>
      </c>
      <c r="C220" s="23">
        <v>110.0</v>
      </c>
      <c r="D220" s="24" t="s">
        <v>93</v>
      </c>
      <c r="E220" s="37" t="s">
        <v>16</v>
      </c>
      <c r="F220" s="26"/>
      <c r="G220" s="36" t="s">
        <v>42</v>
      </c>
      <c r="H220" s="28">
        <v>809.0</v>
      </c>
      <c r="I220" s="28">
        <v>12041.8889389129</v>
      </c>
      <c r="J220" s="29">
        <v>9741888.151580537</v>
      </c>
      <c r="K220" s="29">
        <v>12041.8889389129</v>
      </c>
      <c r="L220" s="30">
        <v>1039.0</v>
      </c>
      <c r="M220" s="29">
        <v>1.2511522607530503E7</v>
      </c>
      <c r="N220" s="31" t="s">
        <v>292</v>
      </c>
      <c r="O220" s="32"/>
      <c r="P220" s="33" t="str">
        <f t="array" ref="P220">IFERROR(
HYPERLINK(
"https://drive.google.com/file/d/"&amp;
XLOOKUP(O220,'Hoa-Don'!A:A,'Hoa-Don'!D:D)
&amp;"/view",
"🔎"
),
""
)</f>
        <v/>
      </c>
    </row>
    <row r="221" ht="22.5" customHeight="1">
      <c r="A221" s="21">
        <v>220.0</v>
      </c>
      <c r="B221" s="22">
        <v>42525.0</v>
      </c>
      <c r="C221" s="23">
        <v>110.0</v>
      </c>
      <c r="D221" s="24" t="s">
        <v>93</v>
      </c>
      <c r="E221" s="25" t="s">
        <v>11</v>
      </c>
      <c r="F221" s="26"/>
      <c r="G221" s="36" t="s">
        <v>42</v>
      </c>
      <c r="H221" s="28">
        <v>4999.5</v>
      </c>
      <c r="I221" s="28">
        <v>9310.360914559433</v>
      </c>
      <c r="J221" s="29">
        <v>4.6547149392339885E7</v>
      </c>
      <c r="K221" s="29">
        <v>9310.360914559433</v>
      </c>
      <c r="L221" s="30">
        <v>77349.87</v>
      </c>
      <c r="M221" s="29">
        <v>7.201552063942531E8</v>
      </c>
      <c r="N221" s="31" t="s">
        <v>293</v>
      </c>
      <c r="O221" s="32"/>
      <c r="P221" s="33" t="str">
        <f t="array" ref="P221">IFERROR(
HYPERLINK(
"https://drive.google.com/file/d/"&amp;
XLOOKUP(O221,'Hoa-Don'!A:A,'Hoa-Don'!D:D)
&amp;"/view",
"🔎"
),
""
)</f>
        <v/>
      </c>
    </row>
    <row r="222" ht="22.5" customHeight="1">
      <c r="A222" s="21">
        <v>221.0</v>
      </c>
      <c r="B222" s="22">
        <v>42525.0</v>
      </c>
      <c r="C222" s="23">
        <v>110.0</v>
      </c>
      <c r="D222" s="24" t="s">
        <v>93</v>
      </c>
      <c r="E222" s="25" t="s">
        <v>11</v>
      </c>
      <c r="F222" s="26"/>
      <c r="G222" s="36" t="s">
        <v>42</v>
      </c>
      <c r="H222" s="28">
        <v>811.0</v>
      </c>
      <c r="I222" s="28">
        <v>9310.360914559433</v>
      </c>
      <c r="J222" s="29">
        <v>7550702.7017077</v>
      </c>
      <c r="K222" s="29">
        <v>9310.360914559433</v>
      </c>
      <c r="L222" s="30">
        <v>76538.87</v>
      </c>
      <c r="M222" s="29">
        <v>7.126045036925455E8</v>
      </c>
      <c r="N222" s="31" t="s">
        <v>294</v>
      </c>
      <c r="O222" s="32"/>
      <c r="P222" s="33" t="str">
        <f t="array" ref="P222">IFERROR(
HYPERLINK(
"https://drive.google.com/file/d/"&amp;
XLOOKUP(O222,'Hoa-Don'!A:A,'Hoa-Don'!D:D)
&amp;"/view",
"🔎"
),
""
)</f>
        <v/>
      </c>
    </row>
    <row r="223" ht="22.5" customHeight="1">
      <c r="A223" s="21">
        <v>222.0</v>
      </c>
      <c r="B223" s="22">
        <v>42525.0</v>
      </c>
      <c r="C223" s="23">
        <v>110.0</v>
      </c>
      <c r="D223" s="24" t="s">
        <v>93</v>
      </c>
      <c r="E223" s="25" t="s">
        <v>11</v>
      </c>
      <c r="F223" s="26"/>
      <c r="G223" s="36" t="s">
        <v>42</v>
      </c>
      <c r="H223" s="28">
        <v>1726.0</v>
      </c>
      <c r="I223" s="28">
        <v>9310.360914559433</v>
      </c>
      <c r="J223" s="29">
        <v>1.606968293852958E7</v>
      </c>
      <c r="K223" s="29">
        <v>9310.360914559433</v>
      </c>
      <c r="L223" s="30">
        <v>74812.87</v>
      </c>
      <c r="M223" s="29">
        <v>6.965348207540159E8</v>
      </c>
      <c r="N223" s="31" t="s">
        <v>295</v>
      </c>
      <c r="O223" s="32"/>
      <c r="P223" s="33" t="str">
        <f t="array" ref="P223">IFERROR(
HYPERLINK(
"https://drive.google.com/file/d/"&amp;
XLOOKUP(O223,'Hoa-Don'!A:A,'Hoa-Don'!D:D)
&amp;"/view",
"🔎"
),
""
)</f>
        <v/>
      </c>
    </row>
    <row r="224" ht="22.5" customHeight="1">
      <c r="A224" s="21">
        <v>223.0</v>
      </c>
      <c r="B224" s="22">
        <v>42525.0</v>
      </c>
      <c r="C224" s="23">
        <v>110.0</v>
      </c>
      <c r="D224" s="24" t="s">
        <v>93</v>
      </c>
      <c r="E224" s="35" t="s">
        <v>18</v>
      </c>
      <c r="F224" s="26"/>
      <c r="G224" s="36" t="s">
        <v>42</v>
      </c>
      <c r="H224" s="28">
        <v>2780.0</v>
      </c>
      <c r="I224" s="28">
        <v>7905.888680894859</v>
      </c>
      <c r="J224" s="29">
        <v>2.197837053288771E7</v>
      </c>
      <c r="K224" s="29">
        <v>7905.888680894859</v>
      </c>
      <c r="L224" s="30">
        <v>37856.6</v>
      </c>
      <c r="M224" s="29">
        <v>2.992900654371643E8</v>
      </c>
      <c r="N224" s="31" t="s">
        <v>296</v>
      </c>
      <c r="O224" s="32"/>
      <c r="P224" s="33" t="str">
        <f t="array" ref="P224">IFERROR(
HYPERLINK(
"https://drive.google.com/file/d/"&amp;
XLOOKUP(O224,'Hoa-Don'!A:A,'Hoa-Don'!D:D)
&amp;"/view",
"🔎"
),
""
)</f>
        <v/>
      </c>
    </row>
    <row r="225" ht="22.5" customHeight="1">
      <c r="A225" s="21">
        <v>224.0</v>
      </c>
      <c r="B225" s="22">
        <v>42525.0</v>
      </c>
      <c r="C225" s="23">
        <v>111.0</v>
      </c>
      <c r="D225" s="24" t="s">
        <v>297</v>
      </c>
      <c r="E225" s="35" t="s">
        <v>18</v>
      </c>
      <c r="F225" s="26"/>
      <c r="G225" s="36" t="s">
        <v>42</v>
      </c>
      <c r="H225" s="28">
        <v>1705.0</v>
      </c>
      <c r="I225" s="28">
        <v>7905.888680894859</v>
      </c>
      <c r="J225" s="29">
        <v>1.3479540200925734E7</v>
      </c>
      <c r="K225" s="29">
        <v>7905.888680894859</v>
      </c>
      <c r="L225" s="30">
        <v>36151.6</v>
      </c>
      <c r="M225" s="29">
        <v>2.858105252362386E8</v>
      </c>
      <c r="N225" s="31" t="s">
        <v>298</v>
      </c>
      <c r="O225" s="32"/>
      <c r="P225" s="33" t="str">
        <f t="array" ref="P225">IFERROR(
HYPERLINK(
"https://drive.google.com/file/d/"&amp;
XLOOKUP(O225,'Hoa-Don'!A:A,'Hoa-Don'!D:D)
&amp;"/view",
"🔎"
),
""
)</f>
        <v/>
      </c>
    </row>
    <row r="226" ht="22.5" customHeight="1">
      <c r="A226" s="21">
        <v>225.0</v>
      </c>
      <c r="B226" s="22">
        <v>42526.0</v>
      </c>
      <c r="C226" s="23">
        <v>112.0</v>
      </c>
      <c r="D226" s="24" t="s">
        <v>297</v>
      </c>
      <c r="E226" s="35" t="s">
        <v>18</v>
      </c>
      <c r="F226" s="26"/>
      <c r="G226" s="36" t="s">
        <v>42</v>
      </c>
      <c r="H226" s="28">
        <v>1752.0</v>
      </c>
      <c r="I226" s="28">
        <v>7905.888680894859</v>
      </c>
      <c r="J226" s="29">
        <v>1.3851116968927793E7</v>
      </c>
      <c r="K226" s="29">
        <v>7905.888680894859</v>
      </c>
      <c r="L226" s="30">
        <v>34399.6</v>
      </c>
      <c r="M226" s="29">
        <v>2.719594082673108E8</v>
      </c>
      <c r="N226" s="31" t="s">
        <v>299</v>
      </c>
      <c r="O226" s="32"/>
      <c r="P226" s="33" t="str">
        <f t="array" ref="P226">IFERROR(
HYPERLINK(
"https://drive.google.com/file/d/"&amp;
XLOOKUP(O226,'Hoa-Don'!A:A,'Hoa-Don'!D:D)
&amp;"/view",
"🔎"
),
""
)</f>
        <v/>
      </c>
    </row>
    <row r="227" ht="22.5" customHeight="1">
      <c r="A227" s="21">
        <v>226.0</v>
      </c>
      <c r="B227" s="22">
        <v>42527.0</v>
      </c>
      <c r="C227" s="23">
        <v>113.0</v>
      </c>
      <c r="D227" s="24" t="s">
        <v>300</v>
      </c>
      <c r="E227" s="35" t="s">
        <v>18</v>
      </c>
      <c r="F227" s="26"/>
      <c r="G227" s="36" t="s">
        <v>42</v>
      </c>
      <c r="H227" s="28">
        <v>1500.0</v>
      </c>
      <c r="I227" s="28">
        <v>7905.888680894859</v>
      </c>
      <c r="J227" s="29">
        <v>1.1858833021342289E7</v>
      </c>
      <c r="K227" s="29">
        <v>7905.888680894859</v>
      </c>
      <c r="L227" s="30">
        <v>32899.6</v>
      </c>
      <c r="M227" s="29">
        <v>2.601005752459685E8</v>
      </c>
      <c r="N227" s="31" t="s">
        <v>301</v>
      </c>
      <c r="O227" s="32"/>
      <c r="P227" s="33" t="str">
        <f t="array" ref="P227">IFERROR(
HYPERLINK(
"https://drive.google.com/file/d/"&amp;
XLOOKUP(O227,'Hoa-Don'!A:A,'Hoa-Don'!D:D)
&amp;"/view",
"🔎"
),
""
)</f>
        <v/>
      </c>
    </row>
    <row r="228" ht="22.5" customHeight="1">
      <c r="A228" s="21">
        <v>227.0</v>
      </c>
      <c r="B228" s="22">
        <v>42528.0</v>
      </c>
      <c r="C228" s="23">
        <v>1265.0</v>
      </c>
      <c r="D228" s="24" t="s">
        <v>253</v>
      </c>
      <c r="E228" s="35" t="s">
        <v>18</v>
      </c>
      <c r="F228" s="26"/>
      <c r="G228" s="27" t="s">
        <v>38</v>
      </c>
      <c r="H228" s="28">
        <v>2774.0</v>
      </c>
      <c r="I228" s="28">
        <v>7818.18</v>
      </c>
      <c r="J228" s="29">
        <v>2.168763132E7</v>
      </c>
      <c r="K228" s="29">
        <v>7899.068402571328</v>
      </c>
      <c r="L228" s="30">
        <v>35673.6</v>
      </c>
      <c r="M228" s="29">
        <v>2.817882065659685E8</v>
      </c>
      <c r="N228" s="31" t="s">
        <v>302</v>
      </c>
      <c r="O228" s="32"/>
      <c r="P228" s="33" t="str">
        <f t="array" ref="P228">IFERROR(
HYPERLINK(
"https://drive.google.com/file/d/"&amp;
XLOOKUP(O228,'Hoa-Don'!A:A,'Hoa-Don'!D:D)
&amp;"/view",
"🔎"
),
""
)</f>
        <v/>
      </c>
    </row>
    <row r="229" ht="22.5" customHeight="1">
      <c r="A229" s="21">
        <v>228.0</v>
      </c>
      <c r="B229" s="22">
        <v>42528.0</v>
      </c>
      <c r="C229" s="23">
        <v>114.0</v>
      </c>
      <c r="D229" s="24" t="s">
        <v>300</v>
      </c>
      <c r="E229" s="35" t="s">
        <v>18</v>
      </c>
      <c r="F229" s="26"/>
      <c r="G229" s="36" t="s">
        <v>42</v>
      </c>
      <c r="H229" s="28">
        <v>1480.0</v>
      </c>
      <c r="I229" s="28">
        <v>7899.068402571328</v>
      </c>
      <c r="J229" s="29">
        <v>1.1690621235805565E7</v>
      </c>
      <c r="K229" s="29">
        <v>7899.068402571328</v>
      </c>
      <c r="L229" s="30">
        <v>34193.6</v>
      </c>
      <c r="M229" s="29">
        <v>2.7009758533016294E8</v>
      </c>
      <c r="N229" s="31" t="s">
        <v>303</v>
      </c>
      <c r="O229" s="32"/>
      <c r="P229" s="33" t="str">
        <f t="array" ref="P229">IFERROR(
HYPERLINK(
"https://drive.google.com/file/d/"&amp;
XLOOKUP(O229,'Hoa-Don'!A:A,'Hoa-Don'!D:D)
&amp;"/view",
"🔎"
),
""
)</f>
        <v/>
      </c>
    </row>
    <row r="230" ht="22.5" customHeight="1">
      <c r="A230" s="21">
        <v>229.0</v>
      </c>
      <c r="B230" s="22">
        <v>42534.0</v>
      </c>
      <c r="C230" s="23">
        <v>115.0</v>
      </c>
      <c r="D230" s="24" t="s">
        <v>297</v>
      </c>
      <c r="E230" s="35" t="s">
        <v>18</v>
      </c>
      <c r="F230" s="26"/>
      <c r="G230" s="36" t="s">
        <v>42</v>
      </c>
      <c r="H230" s="28">
        <v>1700.0</v>
      </c>
      <c r="I230" s="28">
        <v>7899.068402571328</v>
      </c>
      <c r="J230" s="29">
        <v>1.3428416284371257E7</v>
      </c>
      <c r="K230" s="29">
        <v>7899.068402571328</v>
      </c>
      <c r="L230" s="30">
        <v>32493.6</v>
      </c>
      <c r="M230" s="29">
        <v>2.566691690457917E8</v>
      </c>
      <c r="N230" s="31" t="s">
        <v>304</v>
      </c>
      <c r="O230" s="32"/>
      <c r="P230" s="33" t="str">
        <f t="array" ref="P230">IFERROR(
HYPERLINK(
"https://drive.google.com/file/d/"&amp;
XLOOKUP(O230,'Hoa-Don'!A:A,'Hoa-Don'!D:D)
&amp;"/view",
"🔎"
),
""
)</f>
        <v/>
      </c>
    </row>
    <row r="231" ht="22.5" customHeight="1">
      <c r="A231" s="21">
        <v>230.0</v>
      </c>
      <c r="B231" s="22">
        <v>42535.0</v>
      </c>
      <c r="C231" s="23">
        <v>116.0</v>
      </c>
      <c r="D231" s="24" t="s">
        <v>297</v>
      </c>
      <c r="E231" s="35" t="s">
        <v>18</v>
      </c>
      <c r="F231" s="26"/>
      <c r="G231" s="36" t="s">
        <v>42</v>
      </c>
      <c r="H231" s="28">
        <v>1385.0</v>
      </c>
      <c r="I231" s="28">
        <v>7899.068402571328</v>
      </c>
      <c r="J231" s="29">
        <v>1.094020973756129E7</v>
      </c>
      <c r="K231" s="29">
        <v>7899.068402571328</v>
      </c>
      <c r="L231" s="30">
        <v>31108.6</v>
      </c>
      <c r="M231" s="29">
        <v>2.457289593082304E8</v>
      </c>
      <c r="N231" s="31" t="s">
        <v>305</v>
      </c>
      <c r="O231" s="32"/>
      <c r="P231" s="33" t="str">
        <f t="array" ref="P231">IFERROR(
HYPERLINK(
"https://drive.google.com/file/d/"&amp;
XLOOKUP(O231,'Hoa-Don'!A:A,'Hoa-Don'!D:D)
&amp;"/view",
"🔎"
),
""
)</f>
        <v/>
      </c>
    </row>
    <row r="232" ht="22.5" customHeight="1">
      <c r="A232" s="21">
        <v>231.0</v>
      </c>
      <c r="B232" s="22">
        <v>42539.0</v>
      </c>
      <c r="C232" s="23">
        <v>117.0</v>
      </c>
      <c r="D232" s="24" t="s">
        <v>130</v>
      </c>
      <c r="E232" s="25" t="s">
        <v>11</v>
      </c>
      <c r="F232" s="26"/>
      <c r="G232" s="36" t="s">
        <v>42</v>
      </c>
      <c r="H232" s="28">
        <v>96.0</v>
      </c>
      <c r="I232" s="28">
        <v>9310.360914559433</v>
      </c>
      <c r="J232" s="29">
        <v>893794.6477977056</v>
      </c>
      <c r="K232" s="29">
        <v>9310.360914559433</v>
      </c>
      <c r="L232" s="30">
        <v>74716.87</v>
      </c>
      <c r="M232" s="29">
        <v>6.956410261062182E8</v>
      </c>
      <c r="N232" s="31" t="s">
        <v>306</v>
      </c>
      <c r="O232" s="32"/>
      <c r="P232" s="33" t="str">
        <f t="array" ref="P232">IFERROR(
HYPERLINK(
"https://drive.google.com/file/d/"&amp;
XLOOKUP(O232,'Hoa-Don'!A:A,'Hoa-Don'!D:D)
&amp;"/view",
"🔎"
),
""
)</f>
        <v/>
      </c>
    </row>
    <row r="233" ht="22.5" customHeight="1">
      <c r="A233" s="21">
        <v>232.0</v>
      </c>
      <c r="B233" s="22">
        <v>42543.0</v>
      </c>
      <c r="C233" s="23">
        <v>118.0</v>
      </c>
      <c r="D233" s="24" t="s">
        <v>297</v>
      </c>
      <c r="E233" s="35" t="s">
        <v>18</v>
      </c>
      <c r="F233" s="26"/>
      <c r="G233" s="36" t="s">
        <v>42</v>
      </c>
      <c r="H233" s="28">
        <v>1014.0</v>
      </c>
      <c r="I233" s="28">
        <v>7899.068402571328</v>
      </c>
      <c r="J233" s="29">
        <v>8009655.360207327</v>
      </c>
      <c r="K233" s="29">
        <v>7899.068402571328</v>
      </c>
      <c r="L233" s="30">
        <v>30094.6</v>
      </c>
      <c r="M233" s="29">
        <v>2.3771930394802308E8</v>
      </c>
      <c r="N233" s="31" t="s">
        <v>307</v>
      </c>
      <c r="O233" s="32"/>
      <c r="P233" s="33" t="str">
        <f t="array" ref="P233">IFERROR(
HYPERLINK(
"https://drive.google.com/file/d/"&amp;
XLOOKUP(O233,'Hoa-Don'!A:A,'Hoa-Don'!D:D)
&amp;"/view",
"🔎"
),
""
)</f>
        <v/>
      </c>
    </row>
    <row r="234" ht="22.5" customHeight="1">
      <c r="A234" s="21">
        <v>233.0</v>
      </c>
      <c r="B234" s="22">
        <v>42544.0</v>
      </c>
      <c r="C234" s="23">
        <v>119.0</v>
      </c>
      <c r="D234" s="24" t="s">
        <v>300</v>
      </c>
      <c r="E234" s="35" t="s">
        <v>18</v>
      </c>
      <c r="F234" s="26"/>
      <c r="G234" s="36" t="s">
        <v>42</v>
      </c>
      <c r="H234" s="28">
        <v>1400.0</v>
      </c>
      <c r="I234" s="28">
        <v>7899.068402571328</v>
      </c>
      <c r="J234" s="29">
        <v>1.105869576359986E7</v>
      </c>
      <c r="K234" s="29">
        <v>7899.068402571328</v>
      </c>
      <c r="L234" s="30">
        <v>28694.6</v>
      </c>
      <c r="M234" s="29">
        <v>2.266606081844232E8</v>
      </c>
      <c r="N234" s="31" t="s">
        <v>308</v>
      </c>
      <c r="O234" s="32"/>
      <c r="P234" s="33" t="str">
        <f t="array" ref="P234">IFERROR(
HYPERLINK(
"https://drive.google.com/file/d/"&amp;
XLOOKUP(O234,'Hoa-Don'!A:A,'Hoa-Don'!D:D)
&amp;"/view",
"🔎"
),
""
)</f>
        <v/>
      </c>
    </row>
    <row r="235" ht="22.5" customHeight="1">
      <c r="A235" s="21">
        <v>234.0</v>
      </c>
      <c r="B235" s="22">
        <v>42545.0</v>
      </c>
      <c r="C235" s="23">
        <v>121.0</v>
      </c>
      <c r="D235" s="24" t="s">
        <v>300</v>
      </c>
      <c r="E235" s="35" t="s">
        <v>18</v>
      </c>
      <c r="F235" s="26"/>
      <c r="G235" s="36" t="s">
        <v>42</v>
      </c>
      <c r="H235" s="28">
        <v>1540.0</v>
      </c>
      <c r="I235" s="28">
        <v>7899.068402571328</v>
      </c>
      <c r="J235" s="29">
        <v>1.2164565339959845E7</v>
      </c>
      <c r="K235" s="29">
        <v>7899.068402571328</v>
      </c>
      <c r="L235" s="30">
        <v>27154.6</v>
      </c>
      <c r="M235" s="29">
        <v>2.1449604284446338E8</v>
      </c>
      <c r="N235" s="31" t="s">
        <v>309</v>
      </c>
      <c r="O235" s="32"/>
      <c r="P235" s="33" t="str">
        <f t="array" ref="P235">IFERROR(
HYPERLINK(
"https://drive.google.com/file/d/"&amp;
XLOOKUP(O235,'Hoa-Don'!A:A,'Hoa-Don'!D:D)
&amp;"/view",
"🔎"
),
""
)</f>
        <v/>
      </c>
    </row>
    <row r="236" ht="22.5" customHeight="1">
      <c r="A236" s="21">
        <v>235.0</v>
      </c>
      <c r="B236" s="22">
        <v>42548.0</v>
      </c>
      <c r="C236" s="23">
        <v>1061.0</v>
      </c>
      <c r="D236" s="24" t="s">
        <v>69</v>
      </c>
      <c r="E236" s="37" t="s">
        <v>16</v>
      </c>
      <c r="F236" s="26"/>
      <c r="G236" s="27" t="s">
        <v>38</v>
      </c>
      <c r="H236" s="28">
        <v>199.0</v>
      </c>
      <c r="I236" s="28">
        <v>11545.45</v>
      </c>
      <c r="J236" s="29">
        <v>2297544.5500000003</v>
      </c>
      <c r="K236" s="29">
        <v>11962.089787989098</v>
      </c>
      <c r="L236" s="30">
        <v>1238.0</v>
      </c>
      <c r="M236" s="29">
        <v>1.4809067157530503E7</v>
      </c>
      <c r="N236" s="31" t="s">
        <v>310</v>
      </c>
      <c r="O236" s="32"/>
      <c r="P236" s="33" t="str">
        <f t="array" ref="P236">IFERROR(
HYPERLINK(
"https://drive.google.com/file/d/"&amp;
XLOOKUP(O236,'Hoa-Don'!A:A,'Hoa-Don'!D:D)
&amp;"/view",
"🔎"
),
""
)</f>
        <v/>
      </c>
    </row>
    <row r="237" ht="22.5" customHeight="1">
      <c r="A237" s="21">
        <v>236.0</v>
      </c>
      <c r="B237" s="22">
        <v>42550.0</v>
      </c>
      <c r="C237" s="23">
        <v>627.0</v>
      </c>
      <c r="D237" s="24" t="s">
        <v>86</v>
      </c>
      <c r="E237" s="25" t="s">
        <v>11</v>
      </c>
      <c r="F237" s="26"/>
      <c r="G237" s="27" t="s">
        <v>38</v>
      </c>
      <c r="H237" s="28">
        <v>7183.0</v>
      </c>
      <c r="I237" s="28">
        <v>9209.09</v>
      </c>
      <c r="J237" s="29">
        <v>6.614889347E7</v>
      </c>
      <c r="K237" s="29">
        <v>9301.4789837422</v>
      </c>
      <c r="L237" s="30">
        <v>81899.87</v>
      </c>
      <c r="M237" s="29">
        <v>7.617899195762182E8</v>
      </c>
      <c r="N237" s="31" t="s">
        <v>311</v>
      </c>
      <c r="O237" s="32"/>
      <c r="P237" s="33" t="str">
        <f t="array" ref="P237">IFERROR(
HYPERLINK(
"https://drive.google.com/file/d/"&amp;
XLOOKUP(O237,'Hoa-Don'!A:A,'Hoa-Don'!D:D)
&amp;"/view",
"🔎"
),
""
)</f>
        <v/>
      </c>
    </row>
    <row r="238" ht="22.5" customHeight="1">
      <c r="A238" s="21">
        <v>237.0</v>
      </c>
      <c r="B238" s="22">
        <v>42550.0</v>
      </c>
      <c r="C238" s="23">
        <v>627.0</v>
      </c>
      <c r="D238" s="24" t="s">
        <v>86</v>
      </c>
      <c r="E238" s="35" t="s">
        <v>18</v>
      </c>
      <c r="F238" s="26"/>
      <c r="G238" s="27" t="s">
        <v>38</v>
      </c>
      <c r="H238" s="28">
        <v>7765.0</v>
      </c>
      <c r="I238" s="28">
        <v>8545.45</v>
      </c>
      <c r="J238" s="29">
        <v>6.635541925000001E7</v>
      </c>
      <c r="K238" s="29">
        <v>8042.802955774506</v>
      </c>
      <c r="L238" s="30">
        <v>34919.6</v>
      </c>
      <c r="M238" s="29">
        <v>2.808514620944634E8</v>
      </c>
      <c r="N238" s="31" t="s">
        <v>312</v>
      </c>
      <c r="O238" s="32"/>
      <c r="P238" s="33" t="str">
        <f t="array" ref="P238">IFERROR(
HYPERLINK(
"https://drive.google.com/file/d/"&amp;
XLOOKUP(O238,'Hoa-Don'!A:A,'Hoa-Don'!D:D)
&amp;"/view",
"🔎"
),
""
)</f>
        <v/>
      </c>
    </row>
    <row r="239" ht="22.5" customHeight="1">
      <c r="A239" s="21">
        <v>238.0</v>
      </c>
      <c r="B239" s="22">
        <v>42550.0</v>
      </c>
      <c r="C239" s="23">
        <v>631.0</v>
      </c>
      <c r="D239" s="24" t="s">
        <v>86</v>
      </c>
      <c r="E239" s="35" t="s">
        <v>18</v>
      </c>
      <c r="F239" s="26"/>
      <c r="G239" s="27" t="s">
        <v>38</v>
      </c>
      <c r="H239" s="28">
        <v>9422.0</v>
      </c>
      <c r="I239" s="28">
        <v>7818.18</v>
      </c>
      <c r="J239" s="29">
        <v>7.366289196000001E7</v>
      </c>
      <c r="K239" s="29">
        <v>7995.073566458211</v>
      </c>
      <c r="L239" s="30">
        <v>44341.6</v>
      </c>
      <c r="M239" s="29">
        <v>3.545143540544634E8</v>
      </c>
      <c r="N239" s="31" t="s">
        <v>313</v>
      </c>
      <c r="O239" s="32"/>
      <c r="P239" s="33" t="str">
        <f t="array" ref="P239">IFERROR(
HYPERLINK(
"https://drive.google.com/file/d/"&amp;
XLOOKUP(O239,'Hoa-Don'!A:A,'Hoa-Don'!D:D)
&amp;"/view",
"🔎"
),
""
)</f>
        <v/>
      </c>
    </row>
    <row r="240" ht="22.5" customHeight="1">
      <c r="A240" s="21">
        <v>239.0</v>
      </c>
      <c r="B240" s="22">
        <v>42551.0</v>
      </c>
      <c r="C240" s="23">
        <v>1117.0</v>
      </c>
      <c r="D240" s="24" t="s">
        <v>69</v>
      </c>
      <c r="E240" s="37" t="s">
        <v>16</v>
      </c>
      <c r="F240" s="26"/>
      <c r="G240" s="27" t="s">
        <v>38</v>
      </c>
      <c r="H240" s="28">
        <v>1570.0</v>
      </c>
      <c r="I240" s="28">
        <v>11545.45</v>
      </c>
      <c r="J240" s="29">
        <v>1.81263565E7</v>
      </c>
      <c r="K240" s="29">
        <v>11729.13947917753</v>
      </c>
      <c r="L240" s="30">
        <v>2808.0</v>
      </c>
      <c r="M240" s="29">
        <v>3.29354236575305E7</v>
      </c>
      <c r="N240" s="31" t="s">
        <v>314</v>
      </c>
      <c r="O240" s="32"/>
      <c r="P240" s="33" t="str">
        <f t="array" ref="P240">IFERROR(
HYPERLINK(
"https://drive.google.com/file/d/"&amp;
XLOOKUP(O240,'Hoa-Don'!A:A,'Hoa-Don'!D:D)
&amp;"/view",
"🔎"
),
""
)</f>
        <v/>
      </c>
    </row>
    <row r="241" ht="22.5" customHeight="1">
      <c r="A241" s="21">
        <v>240.0</v>
      </c>
      <c r="B241" s="22">
        <v>42551.0</v>
      </c>
      <c r="C241" s="23">
        <v>122.0</v>
      </c>
      <c r="D241" s="24" t="s">
        <v>130</v>
      </c>
      <c r="E241" s="25" t="s">
        <v>11</v>
      </c>
      <c r="F241" s="26"/>
      <c r="G241" s="36" t="s">
        <v>42</v>
      </c>
      <c r="H241" s="28">
        <v>208.0</v>
      </c>
      <c r="I241" s="28">
        <v>9301.4789837422</v>
      </c>
      <c r="J241" s="29">
        <v>1934707.6286183775</v>
      </c>
      <c r="K241" s="29">
        <v>9301.4789837422</v>
      </c>
      <c r="L241" s="30">
        <v>81691.87</v>
      </c>
      <c r="M241" s="29">
        <v>7.598552119475999E8</v>
      </c>
      <c r="N241" s="31" t="s">
        <v>315</v>
      </c>
      <c r="O241" s="32"/>
      <c r="P241" s="33" t="str">
        <f t="array" ref="P241">IFERROR(
HYPERLINK(
"https://drive.google.com/file/d/"&amp;
XLOOKUP(O241,'Hoa-Don'!A:A,'Hoa-Don'!D:D)
&amp;"/view",
"🔎"
),
""
)</f>
        <v/>
      </c>
    </row>
    <row r="242" ht="22.5" customHeight="1">
      <c r="A242" s="21">
        <v>241.0</v>
      </c>
      <c r="B242" s="22">
        <v>42552.0</v>
      </c>
      <c r="C242" s="23">
        <v>123.0</v>
      </c>
      <c r="D242" s="24" t="s">
        <v>316</v>
      </c>
      <c r="E242" s="25" t="s">
        <v>11</v>
      </c>
      <c r="F242" s="26"/>
      <c r="G242" s="36" t="s">
        <v>42</v>
      </c>
      <c r="H242" s="28">
        <v>957.0</v>
      </c>
      <c r="I242" s="28">
        <v>9301.4789837422</v>
      </c>
      <c r="J242" s="29">
        <v>8901515.387441285</v>
      </c>
      <c r="K242" s="29">
        <v>9301.4789837422</v>
      </c>
      <c r="L242" s="30">
        <v>80734.87</v>
      </c>
      <c r="M242" s="29">
        <v>7.509536965601585E8</v>
      </c>
      <c r="N242" s="31" t="s">
        <v>317</v>
      </c>
      <c r="O242" s="32"/>
      <c r="P242" s="33" t="str">
        <f t="array" ref="P242">IFERROR(
HYPERLINK(
"https://drive.google.com/file/d/"&amp;
XLOOKUP(O242,'Hoa-Don'!A:A,'Hoa-Don'!D:D)
&amp;"/view",
"🔎"
),
""
)</f>
        <v/>
      </c>
    </row>
    <row r="243" ht="22.5" customHeight="1">
      <c r="A243" s="21">
        <v>242.0</v>
      </c>
      <c r="B243" s="22">
        <v>42553.0</v>
      </c>
      <c r="C243" s="23">
        <v>124.0</v>
      </c>
      <c r="D243" s="24" t="s">
        <v>146</v>
      </c>
      <c r="E243" s="25" t="s">
        <v>11</v>
      </c>
      <c r="F243" s="26"/>
      <c r="G243" s="36" t="s">
        <v>42</v>
      </c>
      <c r="H243" s="28">
        <v>1565.0</v>
      </c>
      <c r="I243" s="28">
        <v>9301.4789837422</v>
      </c>
      <c r="J243" s="29">
        <v>1.4556814609556543E7</v>
      </c>
      <c r="K243" s="29">
        <v>9301.4789837422</v>
      </c>
      <c r="L243" s="30">
        <v>79169.87</v>
      </c>
      <c r="M243" s="29">
        <v>7.36396881950602E8</v>
      </c>
      <c r="N243" s="31" t="s">
        <v>318</v>
      </c>
      <c r="O243" s="32"/>
      <c r="P243" s="33" t="str">
        <f t="array" ref="P243">IFERROR(
HYPERLINK(
"https://drive.google.com/file/d/"&amp;
XLOOKUP(O243,'Hoa-Don'!A:A,'Hoa-Don'!D:D)
&amp;"/view",
"🔎"
),
""
)</f>
        <v/>
      </c>
    </row>
    <row r="244" ht="22.5" customHeight="1">
      <c r="A244" s="21">
        <v>243.0</v>
      </c>
      <c r="B244" s="22">
        <v>42558.0</v>
      </c>
      <c r="C244" s="23">
        <v>125.0</v>
      </c>
      <c r="D244" s="24" t="s">
        <v>248</v>
      </c>
      <c r="E244" s="37" t="s">
        <v>16</v>
      </c>
      <c r="F244" s="26"/>
      <c r="G244" s="36" t="s">
        <v>42</v>
      </c>
      <c r="H244" s="28">
        <v>1769.0</v>
      </c>
      <c r="I244" s="28">
        <v>11729.13947917753</v>
      </c>
      <c r="J244" s="29">
        <v>2.0748847738665048E7</v>
      </c>
      <c r="K244" s="29">
        <v>11729.13947917753</v>
      </c>
      <c r="L244" s="30">
        <v>1039.0</v>
      </c>
      <c r="M244" s="29">
        <v>1.2186575918865453E7</v>
      </c>
      <c r="N244" s="31" t="s">
        <v>319</v>
      </c>
      <c r="O244" s="32"/>
      <c r="P244" s="33" t="str">
        <f t="array" ref="P244">IFERROR(
HYPERLINK(
"https://drive.google.com/file/d/"&amp;
XLOOKUP(O244,'Hoa-Don'!A:A,'Hoa-Don'!D:D)
&amp;"/view",
"🔎"
),
""
)</f>
        <v/>
      </c>
    </row>
    <row r="245" ht="22.5" customHeight="1">
      <c r="A245" s="21">
        <v>244.0</v>
      </c>
      <c r="B245" s="22">
        <v>42561.0</v>
      </c>
      <c r="C245" s="23">
        <v>126.0</v>
      </c>
      <c r="D245" s="24" t="s">
        <v>146</v>
      </c>
      <c r="E245" s="25" t="s">
        <v>11</v>
      </c>
      <c r="F245" s="26"/>
      <c r="G245" s="36" t="s">
        <v>42</v>
      </c>
      <c r="H245" s="28">
        <v>1465.0</v>
      </c>
      <c r="I245" s="28">
        <v>9301.4789837422</v>
      </c>
      <c r="J245" s="29">
        <v>1.3626666711182322E7</v>
      </c>
      <c r="K245" s="29">
        <v>9301.4789837422</v>
      </c>
      <c r="L245" s="30">
        <v>77704.87</v>
      </c>
      <c r="M245" s="29">
        <v>7.227702152394197E8</v>
      </c>
      <c r="N245" s="31" t="s">
        <v>320</v>
      </c>
      <c r="O245" s="32"/>
      <c r="P245" s="33" t="str">
        <f t="array" ref="P245">IFERROR(
HYPERLINK(
"https://drive.google.com/file/d/"&amp;
XLOOKUP(O245,'Hoa-Don'!A:A,'Hoa-Don'!D:D)
&amp;"/view",
"🔎"
),
""
)</f>
        <v/>
      </c>
    </row>
    <row r="246" ht="22.5" customHeight="1">
      <c r="A246" s="21">
        <v>245.0</v>
      </c>
      <c r="B246" s="22">
        <v>42561.0</v>
      </c>
      <c r="C246" s="23">
        <v>126.0</v>
      </c>
      <c r="D246" s="24" t="s">
        <v>146</v>
      </c>
      <c r="E246" s="37" t="s">
        <v>16</v>
      </c>
      <c r="F246" s="26"/>
      <c r="G246" s="36" t="s">
        <v>42</v>
      </c>
      <c r="H246" s="28">
        <v>80.0</v>
      </c>
      <c r="I246" s="28">
        <v>11729.13947917753</v>
      </c>
      <c r="J246" s="29">
        <v>938331.1583342024</v>
      </c>
      <c r="K246" s="29">
        <v>11729.13947917753</v>
      </c>
      <c r="L246" s="30">
        <v>959.0</v>
      </c>
      <c r="M246" s="29">
        <v>1.124824476053125E7</v>
      </c>
      <c r="N246" s="31" t="s">
        <v>321</v>
      </c>
      <c r="O246" s="32"/>
      <c r="P246" s="33" t="str">
        <f t="array" ref="P246">IFERROR(
HYPERLINK(
"https://drive.google.com/file/d/"&amp;
XLOOKUP(O246,'Hoa-Don'!A:A,'Hoa-Don'!D:D)
&amp;"/view",
"🔎"
),
""
)</f>
        <v/>
      </c>
    </row>
    <row r="247" ht="22.5" customHeight="1">
      <c r="A247" s="21">
        <v>246.0</v>
      </c>
      <c r="B247" s="22">
        <v>42570.0</v>
      </c>
      <c r="C247" s="23">
        <v>597.0</v>
      </c>
      <c r="D247" s="24" t="s">
        <v>246</v>
      </c>
      <c r="E247" s="25" t="s">
        <v>11</v>
      </c>
      <c r="F247" s="26"/>
      <c r="G247" s="27" t="s">
        <v>38</v>
      </c>
      <c r="H247" s="28">
        <v>1147.0</v>
      </c>
      <c r="I247" s="28">
        <v>11090.9</v>
      </c>
      <c r="J247" s="29">
        <v>1.2721262299999999E7</v>
      </c>
      <c r="K247" s="29">
        <v>9327.508371575965</v>
      </c>
      <c r="L247" s="30">
        <v>78851.87</v>
      </c>
      <c r="M247" s="29">
        <v>7.354914775394197E8</v>
      </c>
      <c r="N247" s="31" t="s">
        <v>322</v>
      </c>
      <c r="O247" s="32"/>
      <c r="P247" s="33" t="str">
        <f t="array" ref="P247">IFERROR(
HYPERLINK(
"https://drive.google.com/file/d/"&amp;
XLOOKUP(O247,'Hoa-Don'!A:A,'Hoa-Don'!D:D)
&amp;"/view",
"🔎"
),
""
)</f>
        <v/>
      </c>
    </row>
    <row r="248" ht="22.5" customHeight="1">
      <c r="A248" s="21">
        <v>247.0</v>
      </c>
      <c r="B248" s="22">
        <v>42570.0</v>
      </c>
      <c r="C248" s="23">
        <v>815.0</v>
      </c>
      <c r="D248" s="24" t="s">
        <v>86</v>
      </c>
      <c r="E248" s="25" t="s">
        <v>11</v>
      </c>
      <c r="F248" s="26"/>
      <c r="G248" s="27" t="s">
        <v>38</v>
      </c>
      <c r="H248" s="28">
        <v>10920.0</v>
      </c>
      <c r="I248" s="28">
        <v>9076.92</v>
      </c>
      <c r="J248" s="29">
        <v>9.91199664E7</v>
      </c>
      <c r="K248" s="29">
        <v>9297.026384093588</v>
      </c>
      <c r="L248" s="30">
        <v>89771.87</v>
      </c>
      <c r="M248" s="29">
        <v>8.346114439394196E8</v>
      </c>
      <c r="N248" s="31" t="s">
        <v>323</v>
      </c>
      <c r="O248" s="32"/>
      <c r="P248" s="33" t="str">
        <f t="array" ref="P248">IFERROR(
HYPERLINK(
"https://drive.google.com/file/d/"&amp;
XLOOKUP(O248,'Hoa-Don'!A:A,'Hoa-Don'!D:D)
&amp;"/view",
"🔎"
),
""
)</f>
        <v/>
      </c>
    </row>
    <row r="249" ht="22.5" customHeight="1">
      <c r="A249" s="21">
        <v>248.0</v>
      </c>
      <c r="B249" s="22">
        <v>42571.0</v>
      </c>
      <c r="C249" s="23">
        <v>662.0</v>
      </c>
      <c r="D249" s="24" t="s">
        <v>246</v>
      </c>
      <c r="E249" s="25" t="s">
        <v>11</v>
      </c>
      <c r="F249" s="26"/>
      <c r="G249" s="27" t="s">
        <v>38</v>
      </c>
      <c r="H249" s="28">
        <v>863.0</v>
      </c>
      <c r="I249" s="28">
        <v>11090.9</v>
      </c>
      <c r="J249" s="29">
        <v>9571446.7</v>
      </c>
      <c r="K249" s="29">
        <v>9314.107149261865</v>
      </c>
      <c r="L249" s="30">
        <v>90634.87</v>
      </c>
      <c r="M249" s="29">
        <v>8.441828906394197E8</v>
      </c>
      <c r="N249" s="31" t="s">
        <v>324</v>
      </c>
      <c r="O249" s="32"/>
      <c r="P249" s="33" t="str">
        <f t="array" ref="P249">IFERROR(
HYPERLINK(
"https://drive.google.com/file/d/"&amp;
XLOOKUP(O249,'Hoa-Don'!A:A,'Hoa-Don'!D:D)
&amp;"/view",
"🔎"
),
""
)</f>
        <v/>
      </c>
    </row>
    <row r="250" ht="22.5" customHeight="1">
      <c r="A250" s="21">
        <v>249.0</v>
      </c>
      <c r="B250" s="22">
        <v>42572.0</v>
      </c>
      <c r="C250" s="23">
        <v>752.0</v>
      </c>
      <c r="D250" s="24" t="s">
        <v>246</v>
      </c>
      <c r="E250" s="25" t="s">
        <v>11</v>
      </c>
      <c r="F250" s="26"/>
      <c r="G250" s="27" t="s">
        <v>38</v>
      </c>
      <c r="H250" s="28">
        <v>882.0</v>
      </c>
      <c r="I250" s="28">
        <v>11090.9</v>
      </c>
      <c r="J250" s="29">
        <v>9782173.799999999</v>
      </c>
      <c r="K250" s="29">
        <v>9331.231110061124</v>
      </c>
      <c r="L250" s="30">
        <v>91516.87</v>
      </c>
      <c r="M250" s="29">
        <v>8.539650644394196E8</v>
      </c>
      <c r="N250" s="31" t="s">
        <v>325</v>
      </c>
      <c r="O250" s="32"/>
      <c r="P250" s="33" t="str">
        <f t="array" ref="P250">IFERROR(
HYPERLINK(
"https://drive.google.com/file/d/"&amp;
XLOOKUP(O250,'Hoa-Don'!A:A,'Hoa-Don'!D:D)
&amp;"/view",
"🔎"
),
""
)</f>
        <v/>
      </c>
    </row>
    <row r="251" ht="22.5" customHeight="1">
      <c r="A251" s="21">
        <v>250.0</v>
      </c>
      <c r="B251" s="22">
        <v>42572.0</v>
      </c>
      <c r="C251" s="23">
        <v>752.0</v>
      </c>
      <c r="D251" s="24" t="s">
        <v>246</v>
      </c>
      <c r="E251" s="25" t="s">
        <v>11</v>
      </c>
      <c r="F251" s="26"/>
      <c r="G251" s="27" t="s">
        <v>38</v>
      </c>
      <c r="H251" s="28">
        <v>735.0</v>
      </c>
      <c r="I251" s="28">
        <v>11090.9</v>
      </c>
      <c r="J251" s="29">
        <v>8151811.5</v>
      </c>
      <c r="K251" s="29">
        <v>9345.250951979831</v>
      </c>
      <c r="L251" s="30">
        <v>92251.87</v>
      </c>
      <c r="M251" s="29">
        <v>8.621168759394196E8</v>
      </c>
      <c r="N251" s="31" t="s">
        <v>326</v>
      </c>
      <c r="O251" s="32"/>
      <c r="P251" s="33" t="str">
        <f t="array" ref="P251">IFERROR(
HYPERLINK(
"https://drive.google.com/file/d/"&amp;
XLOOKUP(O251,'Hoa-Don'!A:A,'Hoa-Don'!D:D)
&amp;"/view",
"🔎"
),
""
)</f>
        <v/>
      </c>
    </row>
    <row r="252" ht="22.5" customHeight="1">
      <c r="A252" s="21">
        <v>251.0</v>
      </c>
      <c r="B252" s="22">
        <v>42573.0</v>
      </c>
      <c r="C252" s="23">
        <v>764.0</v>
      </c>
      <c r="D252" s="24" t="s">
        <v>246</v>
      </c>
      <c r="E252" s="25" t="s">
        <v>11</v>
      </c>
      <c r="F252" s="26"/>
      <c r="G252" s="27" t="s">
        <v>38</v>
      </c>
      <c r="H252" s="28">
        <v>1057.0</v>
      </c>
      <c r="I252" s="28">
        <v>11090.9</v>
      </c>
      <c r="J252" s="29">
        <v>1.1723081299999999E7</v>
      </c>
      <c r="K252" s="29">
        <v>9365.025610527913</v>
      </c>
      <c r="L252" s="30">
        <v>93308.87</v>
      </c>
      <c r="M252" s="29">
        <v>8.738399572394196E8</v>
      </c>
      <c r="N252" s="31" t="s">
        <v>327</v>
      </c>
      <c r="O252" s="32"/>
      <c r="P252" s="33" t="str">
        <f t="array" ref="P252">IFERROR(
HYPERLINK(
"https://drive.google.com/file/d/"&amp;
XLOOKUP(O252,'Hoa-Don'!A:A,'Hoa-Don'!D:D)
&amp;"/view",
"🔎"
),
""
)</f>
        <v/>
      </c>
    </row>
    <row r="253" ht="22.5" customHeight="1">
      <c r="A253" s="21">
        <v>252.0</v>
      </c>
      <c r="B253" s="22">
        <v>42576.0</v>
      </c>
      <c r="C253" s="23">
        <v>895.0</v>
      </c>
      <c r="D253" s="24" t="s">
        <v>246</v>
      </c>
      <c r="E253" s="25" t="s">
        <v>11</v>
      </c>
      <c r="F253" s="26"/>
      <c r="G253" s="27" t="s">
        <v>38</v>
      </c>
      <c r="H253" s="28">
        <v>1042.0</v>
      </c>
      <c r="I253" s="28">
        <v>11090.9</v>
      </c>
      <c r="J253" s="29">
        <v>1.1556717799999999E7</v>
      </c>
      <c r="K253" s="29">
        <v>9384.085965920818</v>
      </c>
      <c r="L253" s="30">
        <v>94350.87</v>
      </c>
      <c r="M253" s="29">
        <v>8.853966750394195E8</v>
      </c>
      <c r="N253" s="31" t="s">
        <v>328</v>
      </c>
      <c r="O253" s="32"/>
      <c r="P253" s="33" t="str">
        <f t="array" ref="P253">IFERROR(
HYPERLINK(
"https://drive.google.com/file/d/"&amp;
XLOOKUP(O253,'Hoa-Don'!A:A,'Hoa-Don'!D:D)
&amp;"/view",
"🔎"
),
""
)</f>
        <v/>
      </c>
    </row>
    <row r="254" ht="22.5" customHeight="1">
      <c r="A254" s="21">
        <v>253.0</v>
      </c>
      <c r="B254" s="22">
        <v>42576.0</v>
      </c>
      <c r="C254" s="23">
        <v>5607.0</v>
      </c>
      <c r="D254" s="24" t="s">
        <v>329</v>
      </c>
      <c r="E254" s="38" t="s">
        <v>22</v>
      </c>
      <c r="F254" s="26"/>
      <c r="G254" s="27" t="s">
        <v>38</v>
      </c>
      <c r="H254" s="28">
        <v>4592.0</v>
      </c>
      <c r="I254" s="28">
        <v>13182.0</v>
      </c>
      <c r="J254" s="29">
        <v>6.0531744E7</v>
      </c>
      <c r="K254" s="29">
        <v>13182.0</v>
      </c>
      <c r="L254" s="30">
        <v>4592.0</v>
      </c>
      <c r="M254" s="29">
        <v>6.0531744E7</v>
      </c>
      <c r="N254" s="31" t="s">
        <v>330</v>
      </c>
      <c r="O254" s="32"/>
      <c r="P254" s="33" t="str">
        <f t="array" ref="P254">IFERROR(
HYPERLINK(
"https://drive.google.com/file/d/"&amp;
XLOOKUP(O254,'Hoa-Don'!A:A,'Hoa-Don'!D:D)
&amp;"/view",
"🔎"
),
""
)</f>
        <v/>
      </c>
    </row>
    <row r="255" ht="22.5" customHeight="1">
      <c r="A255" s="21">
        <v>254.0</v>
      </c>
      <c r="B255" s="22">
        <v>42577.0</v>
      </c>
      <c r="C255" s="23">
        <v>957.0</v>
      </c>
      <c r="D255" s="24" t="s">
        <v>246</v>
      </c>
      <c r="E255" s="25" t="s">
        <v>11</v>
      </c>
      <c r="F255" s="26"/>
      <c r="G255" s="27" t="s">
        <v>38</v>
      </c>
      <c r="H255" s="28">
        <v>1341.0</v>
      </c>
      <c r="I255" s="28">
        <v>11090.9</v>
      </c>
      <c r="J255" s="29">
        <v>1.48728969E7</v>
      </c>
      <c r="K255" s="29">
        <v>9408.004796430663</v>
      </c>
      <c r="L255" s="30">
        <v>95691.87</v>
      </c>
      <c r="M255" s="29">
        <v>9.002695719394195E8</v>
      </c>
      <c r="N255" s="31" t="s">
        <v>331</v>
      </c>
      <c r="O255" s="32"/>
      <c r="P255" s="33" t="str">
        <f t="array" ref="P255">IFERROR(
HYPERLINK(
"https://drive.google.com/file/d/"&amp;
XLOOKUP(O255,'Hoa-Don'!A:A,'Hoa-Don'!D:D)
&amp;"/view",
"🔎"
),
""
)</f>
        <v/>
      </c>
    </row>
    <row r="256" ht="22.5" customHeight="1">
      <c r="A256" s="21">
        <v>255.0</v>
      </c>
      <c r="B256" s="22">
        <v>42579.0</v>
      </c>
      <c r="C256" s="23">
        <v>127.0</v>
      </c>
      <c r="D256" s="24" t="s">
        <v>146</v>
      </c>
      <c r="E256" s="25" t="s">
        <v>11</v>
      </c>
      <c r="F256" s="26"/>
      <c r="G256" s="36" t="s">
        <v>42</v>
      </c>
      <c r="H256" s="28">
        <v>1570.0</v>
      </c>
      <c r="I256" s="28">
        <v>9408.004796430663</v>
      </c>
      <c r="J256" s="29">
        <v>1.4770567530396141E7</v>
      </c>
      <c r="K256" s="29">
        <v>9408.004796430663</v>
      </c>
      <c r="L256" s="30">
        <v>94121.87</v>
      </c>
      <c r="M256" s="29">
        <v>8.854990044090233E8</v>
      </c>
      <c r="N256" s="31" t="s">
        <v>332</v>
      </c>
      <c r="O256" s="32"/>
      <c r="P256" s="33" t="str">
        <f t="array" ref="P256">IFERROR(
HYPERLINK(
"https://drive.google.com/file/d/"&amp;
XLOOKUP(O256,'Hoa-Don'!A:A,'Hoa-Don'!D:D)
&amp;"/view",
"🔎"
),
""
)</f>
        <v/>
      </c>
    </row>
    <row r="257" ht="22.5" customHeight="1">
      <c r="A257" s="21">
        <v>256.0</v>
      </c>
      <c r="B257" s="22">
        <v>42580.0</v>
      </c>
      <c r="C257" s="23">
        <v>911.0</v>
      </c>
      <c r="D257" s="24" t="s">
        <v>86</v>
      </c>
      <c r="E257" s="25" t="s">
        <v>11</v>
      </c>
      <c r="F257" s="26"/>
      <c r="G257" s="27" t="s">
        <v>38</v>
      </c>
      <c r="H257" s="28">
        <v>3530.0</v>
      </c>
      <c r="I257" s="28">
        <v>8818.18</v>
      </c>
      <c r="J257" s="29">
        <v>3.1128175400000002E7</v>
      </c>
      <c r="K257" s="29">
        <v>9386.683325255557</v>
      </c>
      <c r="L257" s="30">
        <v>97651.87</v>
      </c>
      <c r="M257" s="29">
        <v>9.166271798090233E8</v>
      </c>
      <c r="N257" s="31" t="s">
        <v>333</v>
      </c>
      <c r="O257" s="32"/>
      <c r="P257" s="33" t="str">
        <f t="array" ref="P257">IFERROR(
HYPERLINK(
"https://drive.google.com/file/d/"&amp;
XLOOKUP(O257,'Hoa-Don'!A:A,'Hoa-Don'!D:D)
&amp;"/view",
"🔎"
),
""
)</f>
        <v/>
      </c>
    </row>
    <row r="258" ht="22.5" customHeight="1">
      <c r="A258" s="21">
        <v>257.0</v>
      </c>
      <c r="B258" s="22">
        <v>42580.0</v>
      </c>
      <c r="C258" s="23">
        <v>5619.0</v>
      </c>
      <c r="D258" s="24" t="s">
        <v>329</v>
      </c>
      <c r="E258" s="38" t="s">
        <v>22</v>
      </c>
      <c r="F258" s="26"/>
      <c r="G258" s="27" t="s">
        <v>38</v>
      </c>
      <c r="H258" s="28">
        <v>1000.0</v>
      </c>
      <c r="I258" s="28">
        <v>13182.0</v>
      </c>
      <c r="J258" s="29">
        <v>1.3182E7</v>
      </c>
      <c r="K258" s="29">
        <v>13182.0</v>
      </c>
      <c r="L258" s="30">
        <v>5592.0</v>
      </c>
      <c r="M258" s="29">
        <v>7.3713744E7</v>
      </c>
      <c r="N258" s="31" t="s">
        <v>334</v>
      </c>
      <c r="O258" s="32"/>
      <c r="P258" s="33" t="str">
        <f t="array" ref="P258">IFERROR(
HYPERLINK(
"https://drive.google.com/file/d/"&amp;
XLOOKUP(O258,'Hoa-Don'!A:A,'Hoa-Don'!D:D)
&amp;"/view",
"🔎"
),
""
)</f>
        <v/>
      </c>
    </row>
    <row r="259" ht="22.5" customHeight="1">
      <c r="A259" s="21">
        <v>258.0</v>
      </c>
      <c r="B259" s="22">
        <v>42582.0</v>
      </c>
      <c r="C259" s="23">
        <v>5620.0</v>
      </c>
      <c r="D259" s="24" t="s">
        <v>329</v>
      </c>
      <c r="E259" s="38" t="s">
        <v>22</v>
      </c>
      <c r="F259" s="26"/>
      <c r="G259" s="27" t="s">
        <v>38</v>
      </c>
      <c r="H259" s="28">
        <v>1066.0</v>
      </c>
      <c r="I259" s="28">
        <v>13182.0</v>
      </c>
      <c r="J259" s="29">
        <v>1.4052012E7</v>
      </c>
      <c r="K259" s="29">
        <v>13182.0</v>
      </c>
      <c r="L259" s="30">
        <v>6658.0</v>
      </c>
      <c r="M259" s="29">
        <v>8.7765756E7</v>
      </c>
      <c r="N259" s="31" t="s">
        <v>335</v>
      </c>
      <c r="O259" s="32"/>
      <c r="P259" s="33" t="str">
        <f t="array" ref="P259">IFERROR(
HYPERLINK(
"https://drive.google.com/file/d/"&amp;
XLOOKUP(O259,'Hoa-Don'!A:A,'Hoa-Don'!D:D)
&amp;"/view",
"🔎"
),
""
)</f>
        <v/>
      </c>
    </row>
    <row r="260" ht="22.5" customHeight="1">
      <c r="A260" s="21">
        <v>259.0</v>
      </c>
      <c r="B260" s="22">
        <v>42590.0</v>
      </c>
      <c r="C260" s="23">
        <v>995.0</v>
      </c>
      <c r="D260" s="24" t="s">
        <v>86</v>
      </c>
      <c r="E260" s="25" t="s">
        <v>11</v>
      </c>
      <c r="F260" s="26"/>
      <c r="G260" s="27" t="s">
        <v>38</v>
      </c>
      <c r="H260" s="28">
        <v>3630.0</v>
      </c>
      <c r="I260" s="28">
        <v>9181.82</v>
      </c>
      <c r="J260" s="29">
        <v>3.3330006599999998E7</v>
      </c>
      <c r="K260" s="29">
        <v>9379.340906808133</v>
      </c>
      <c r="L260" s="30">
        <v>101281.87</v>
      </c>
      <c r="M260" s="29">
        <v>9.499571864090233E8</v>
      </c>
      <c r="N260" s="31" t="s">
        <v>336</v>
      </c>
      <c r="O260" s="32"/>
      <c r="P260" s="33" t="str">
        <f t="array" ref="P260">IFERROR(
HYPERLINK(
"https://drive.google.com/file/d/"&amp;
XLOOKUP(O260,'Hoa-Don'!A:A,'Hoa-Don'!D:D)
&amp;"/view",
"🔎"
),
""
)</f>
        <v/>
      </c>
    </row>
    <row r="261" ht="22.5" customHeight="1">
      <c r="A261" s="21">
        <v>260.0</v>
      </c>
      <c r="B261" s="22">
        <v>42590.0</v>
      </c>
      <c r="C261" s="23">
        <v>995.0</v>
      </c>
      <c r="D261" s="24" t="s">
        <v>86</v>
      </c>
      <c r="E261" s="35" t="s">
        <v>18</v>
      </c>
      <c r="F261" s="26"/>
      <c r="G261" s="27" t="s">
        <v>38</v>
      </c>
      <c r="H261" s="28">
        <v>4950.0</v>
      </c>
      <c r="I261" s="28">
        <v>8272.73</v>
      </c>
      <c r="J261" s="29">
        <v>4.09500135E7</v>
      </c>
      <c r="K261" s="29">
        <v>8022.956600200914</v>
      </c>
      <c r="L261" s="30">
        <v>49291.6</v>
      </c>
      <c r="M261" s="29">
        <v>3.954643675544634E8</v>
      </c>
      <c r="N261" s="31" t="s">
        <v>337</v>
      </c>
      <c r="O261" s="32"/>
      <c r="P261" s="33" t="str">
        <f t="array" ref="P261">IFERROR(
HYPERLINK(
"https://drive.google.com/file/d/"&amp;
XLOOKUP(O261,'Hoa-Don'!A:A,'Hoa-Don'!D:D)
&amp;"/view",
"🔎"
),
""
)</f>
        <v/>
      </c>
    </row>
    <row r="262" ht="22.5" customHeight="1">
      <c r="A262" s="21">
        <v>261.0</v>
      </c>
      <c r="B262" s="22">
        <v>42598.0</v>
      </c>
      <c r="C262" s="23">
        <v>1896.0</v>
      </c>
      <c r="D262" s="24" t="s">
        <v>246</v>
      </c>
      <c r="E262" s="25" t="s">
        <v>11</v>
      </c>
      <c r="F262" s="26"/>
      <c r="G262" s="27" t="s">
        <v>38</v>
      </c>
      <c r="H262" s="28">
        <v>966.0</v>
      </c>
      <c r="I262" s="28">
        <v>11090.9</v>
      </c>
      <c r="J262" s="29">
        <v>1.07138094E7</v>
      </c>
      <c r="K262" s="29">
        <v>9395.511083106408</v>
      </c>
      <c r="L262" s="30">
        <v>102247.87</v>
      </c>
      <c r="M262" s="29">
        <v>9.606709958090233E8</v>
      </c>
      <c r="N262" s="31" t="s">
        <v>338</v>
      </c>
      <c r="O262" s="32"/>
      <c r="P262" s="33" t="str">
        <f t="array" ref="P262">IFERROR(
HYPERLINK(
"https://drive.google.com/file/d/"&amp;
XLOOKUP(O262,'Hoa-Don'!A:A,'Hoa-Don'!D:D)
&amp;"/view",
"🔎"
),
""
)</f>
        <v/>
      </c>
    </row>
    <row r="263" ht="22.5" customHeight="1">
      <c r="A263" s="21">
        <v>262.0</v>
      </c>
      <c r="B263" s="22">
        <v>42599.0</v>
      </c>
      <c r="C263" s="23">
        <v>1963.0</v>
      </c>
      <c r="D263" s="24" t="s">
        <v>246</v>
      </c>
      <c r="E263" s="25" t="s">
        <v>11</v>
      </c>
      <c r="F263" s="26"/>
      <c r="G263" s="27" t="s">
        <v>38</v>
      </c>
      <c r="H263" s="28">
        <v>1467.0</v>
      </c>
      <c r="I263" s="28">
        <v>11090.9</v>
      </c>
      <c r="J263" s="29">
        <v>1.6270350299999999E7</v>
      </c>
      <c r="K263" s="29">
        <v>9419.491593722512</v>
      </c>
      <c r="L263" s="30">
        <v>103714.87</v>
      </c>
      <c r="M263" s="29">
        <v>9.769413461090232E8</v>
      </c>
      <c r="N263" s="31" t="s">
        <v>339</v>
      </c>
      <c r="O263" s="32"/>
      <c r="P263" s="33" t="str">
        <f t="array" ref="P263">IFERROR(
HYPERLINK(
"https://drive.google.com/file/d/"&amp;
XLOOKUP(O263,'Hoa-Don'!A:A,'Hoa-Don'!D:D)
&amp;"/view",
"🔎"
),
""
)</f>
        <v/>
      </c>
    </row>
    <row r="264" ht="22.5" customHeight="1">
      <c r="A264" s="21">
        <v>263.0</v>
      </c>
      <c r="B264" s="22">
        <v>42603.0</v>
      </c>
      <c r="C264" s="23">
        <v>128.0</v>
      </c>
      <c r="D264" s="24" t="s">
        <v>340</v>
      </c>
      <c r="E264" s="35" t="s">
        <v>18</v>
      </c>
      <c r="F264" s="26"/>
      <c r="G264" s="36" t="s">
        <v>42</v>
      </c>
      <c r="H264" s="28">
        <v>409.0</v>
      </c>
      <c r="I264" s="28">
        <v>8022.956600200914</v>
      </c>
      <c r="J264" s="29">
        <v>3281389.249482174</v>
      </c>
      <c r="K264" s="29">
        <v>8022.956600200914</v>
      </c>
      <c r="L264" s="30">
        <v>48882.6</v>
      </c>
      <c r="M264" s="29">
        <v>3.921829783049812E8</v>
      </c>
      <c r="N264" s="31" t="s">
        <v>341</v>
      </c>
      <c r="O264" s="32"/>
      <c r="P264" s="33" t="str">
        <f t="array" ref="P264">IFERROR(
HYPERLINK(
"https://drive.google.com/file/d/"&amp;
XLOOKUP(O264,'Hoa-Don'!A:A,'Hoa-Don'!D:D)
&amp;"/view",
"🔎"
),
""
)</f>
        <v/>
      </c>
    </row>
    <row r="265" ht="22.5" customHeight="1">
      <c r="A265" s="21">
        <v>264.0</v>
      </c>
      <c r="B265" s="22">
        <v>42603.0</v>
      </c>
      <c r="C265" s="23">
        <v>128.0</v>
      </c>
      <c r="D265" s="24" t="s">
        <v>340</v>
      </c>
      <c r="E265" s="25" t="s">
        <v>11</v>
      </c>
      <c r="F265" s="26"/>
      <c r="G265" s="36" t="s">
        <v>42</v>
      </c>
      <c r="H265" s="28">
        <v>1063.0</v>
      </c>
      <c r="I265" s="28">
        <v>9419.491593722512</v>
      </c>
      <c r="J265" s="29">
        <v>1.001291956412703E7</v>
      </c>
      <c r="K265" s="29">
        <v>9419.491593722512</v>
      </c>
      <c r="L265" s="30">
        <v>102651.87</v>
      </c>
      <c r="M265" s="29">
        <v>9.669284265448961E8</v>
      </c>
      <c r="N265" s="31" t="s">
        <v>342</v>
      </c>
      <c r="O265" s="32"/>
      <c r="P265" s="33" t="str">
        <f t="array" ref="P265">IFERROR(
HYPERLINK(
"https://drive.google.com/file/d/"&amp;
XLOOKUP(O265,'Hoa-Don'!A:A,'Hoa-Don'!D:D)
&amp;"/view",
"🔎"
),
""
)</f>
        <v/>
      </c>
    </row>
    <row r="266" ht="22.5" customHeight="1">
      <c r="A266" s="21">
        <v>265.0</v>
      </c>
      <c r="B266" s="22">
        <v>42604.0</v>
      </c>
      <c r="C266" s="23">
        <v>1114.0</v>
      </c>
      <c r="D266" s="24" t="s">
        <v>86</v>
      </c>
      <c r="E266" s="25" t="s">
        <v>11</v>
      </c>
      <c r="F266" s="26"/>
      <c r="G266" s="27" t="s">
        <v>38</v>
      </c>
      <c r="H266" s="28">
        <v>5565.0</v>
      </c>
      <c r="I266" s="28">
        <v>9471.03</v>
      </c>
      <c r="J266" s="29">
        <v>5.270628195E7</v>
      </c>
      <c r="K266" s="29">
        <v>9422.141931243217</v>
      </c>
      <c r="L266" s="30">
        <v>108216.87</v>
      </c>
      <c r="M266" s="29">
        <v>1.0196347084948962E9</v>
      </c>
      <c r="N266" s="31" t="s">
        <v>343</v>
      </c>
      <c r="O266" s="32"/>
      <c r="P266" s="33" t="str">
        <f t="array" ref="P266">IFERROR(
HYPERLINK(
"https://drive.google.com/file/d/"&amp;
XLOOKUP(O266,'Hoa-Don'!A:A,'Hoa-Don'!D:D)
&amp;"/view",
"🔎"
),
""
)</f>
        <v/>
      </c>
    </row>
    <row r="267" ht="22.5" customHeight="1">
      <c r="A267" s="21">
        <v>266.0</v>
      </c>
      <c r="B267" s="22">
        <v>42604.0</v>
      </c>
      <c r="C267" s="23">
        <v>1114.0</v>
      </c>
      <c r="D267" s="24" t="s">
        <v>86</v>
      </c>
      <c r="E267" s="35" t="s">
        <v>18</v>
      </c>
      <c r="F267" s="26"/>
      <c r="G267" s="27" t="s">
        <v>38</v>
      </c>
      <c r="H267" s="28">
        <v>1655.0</v>
      </c>
      <c r="I267" s="28">
        <v>8727.27</v>
      </c>
      <c r="J267" s="29">
        <v>1.4443631850000001E7</v>
      </c>
      <c r="K267" s="29">
        <v>8046.021381208867</v>
      </c>
      <c r="L267" s="30">
        <v>50537.6</v>
      </c>
      <c r="M267" s="29">
        <v>4.066266101549812E8</v>
      </c>
      <c r="N267" s="31" t="s">
        <v>344</v>
      </c>
      <c r="O267" s="32"/>
      <c r="P267" s="33" t="str">
        <f t="array" ref="P267">IFERROR(
HYPERLINK(
"https://drive.google.com/file/d/"&amp;
XLOOKUP(O267,'Hoa-Don'!A:A,'Hoa-Don'!D:D)
&amp;"/view",
"🔎"
),
""
)</f>
        <v/>
      </c>
    </row>
    <row r="268" ht="22.5" customHeight="1">
      <c r="A268" s="21">
        <v>267.0</v>
      </c>
      <c r="B268" s="22">
        <v>42604.0</v>
      </c>
      <c r="C268" s="23">
        <v>129.0</v>
      </c>
      <c r="D268" s="24" t="s">
        <v>63</v>
      </c>
      <c r="E268" s="35" t="s">
        <v>18</v>
      </c>
      <c r="F268" s="26"/>
      <c r="G268" s="36" t="s">
        <v>42</v>
      </c>
      <c r="H268" s="28">
        <v>623.5</v>
      </c>
      <c r="I268" s="28">
        <v>8046.021381208867</v>
      </c>
      <c r="J268" s="29">
        <v>5016694.331183729</v>
      </c>
      <c r="K268" s="29">
        <v>8046.021381208867</v>
      </c>
      <c r="L268" s="30">
        <v>49914.1</v>
      </c>
      <c r="M268" s="29">
        <v>4.0160991582379746E8</v>
      </c>
      <c r="N268" s="31" t="s">
        <v>345</v>
      </c>
      <c r="O268" s="32"/>
      <c r="P268" s="33" t="str">
        <f t="array" ref="P268">IFERROR(
HYPERLINK(
"https://drive.google.com/file/d/"&amp;
XLOOKUP(O268,'Hoa-Don'!A:A,'Hoa-Don'!D:D)
&amp;"/view",
"🔎"
),
""
)</f>
        <v/>
      </c>
    </row>
    <row r="269" ht="22.5" customHeight="1">
      <c r="A269" s="21">
        <v>268.0</v>
      </c>
      <c r="B269" s="22">
        <v>42604.0</v>
      </c>
      <c r="C269" s="23">
        <v>130.0</v>
      </c>
      <c r="D269" s="24" t="s">
        <v>93</v>
      </c>
      <c r="E269" s="25" t="s">
        <v>11</v>
      </c>
      <c r="F269" s="26"/>
      <c r="G269" s="36" t="s">
        <v>42</v>
      </c>
      <c r="H269" s="28">
        <v>896.0</v>
      </c>
      <c r="I269" s="28">
        <v>9422.141931243217</v>
      </c>
      <c r="J269" s="29">
        <v>8442239.170393923</v>
      </c>
      <c r="K269" s="29">
        <v>9422.141931243217</v>
      </c>
      <c r="L269" s="30">
        <v>107320.87</v>
      </c>
      <c r="M269" s="29">
        <v>1.0111924693245022E9</v>
      </c>
      <c r="N269" s="31" t="s">
        <v>346</v>
      </c>
      <c r="O269" s="32"/>
      <c r="P269" s="33" t="str">
        <f t="array" ref="P269">IFERROR(
HYPERLINK(
"https://drive.google.com/file/d/"&amp;
XLOOKUP(O269,'Hoa-Don'!A:A,'Hoa-Don'!D:D)
&amp;"/view",
"🔎"
),
""
)</f>
        <v/>
      </c>
    </row>
    <row r="270" ht="22.5" customHeight="1">
      <c r="A270" s="21">
        <v>269.0</v>
      </c>
      <c r="B270" s="22">
        <v>42604.0</v>
      </c>
      <c r="C270" s="23">
        <v>130.0</v>
      </c>
      <c r="D270" s="24" t="s">
        <v>93</v>
      </c>
      <c r="E270" s="38" t="s">
        <v>22</v>
      </c>
      <c r="F270" s="26"/>
      <c r="G270" s="36" t="s">
        <v>42</v>
      </c>
      <c r="H270" s="28">
        <v>6000.0</v>
      </c>
      <c r="I270" s="28">
        <v>13182.0</v>
      </c>
      <c r="J270" s="29">
        <v>7.9092E7</v>
      </c>
      <c r="K270" s="29">
        <v>13182.0</v>
      </c>
      <c r="L270" s="30">
        <v>658.0</v>
      </c>
      <c r="M270" s="29">
        <v>8673756.0</v>
      </c>
      <c r="N270" s="31" t="s">
        <v>347</v>
      </c>
      <c r="O270" s="32"/>
      <c r="P270" s="33" t="str">
        <f t="array" ref="P270">IFERROR(
HYPERLINK(
"https://drive.google.com/file/d/"&amp;
XLOOKUP(O270,'Hoa-Don'!A:A,'Hoa-Don'!D:D)
&amp;"/view",
"🔎"
),
""
)</f>
        <v/>
      </c>
    </row>
    <row r="271" ht="22.5" customHeight="1">
      <c r="A271" s="21">
        <v>270.0</v>
      </c>
      <c r="B271" s="22">
        <v>42605.0</v>
      </c>
      <c r="C271" s="23">
        <v>131.0</v>
      </c>
      <c r="D271" s="24" t="s">
        <v>146</v>
      </c>
      <c r="E271" s="35" t="s">
        <v>18</v>
      </c>
      <c r="F271" s="26"/>
      <c r="G271" s="36" t="s">
        <v>42</v>
      </c>
      <c r="H271" s="28">
        <v>1700.0</v>
      </c>
      <c r="I271" s="28">
        <v>8046.021381208867</v>
      </c>
      <c r="J271" s="29">
        <v>1.3678236348055074E7</v>
      </c>
      <c r="K271" s="29">
        <v>8046.021381208867</v>
      </c>
      <c r="L271" s="30">
        <v>48214.1</v>
      </c>
      <c r="M271" s="29">
        <v>3.879316794757424E8</v>
      </c>
      <c r="N271" s="31" t="s">
        <v>348</v>
      </c>
      <c r="O271" s="32"/>
      <c r="P271" s="33" t="str">
        <f t="array" ref="P271">IFERROR(
HYPERLINK(
"https://drive.google.com/file/d/"&amp;
XLOOKUP(O271,'Hoa-Don'!A:A,'Hoa-Don'!D:D)
&amp;"/view",
"🔎"
),
""
)</f>
        <v/>
      </c>
    </row>
    <row r="272" ht="22.5" customHeight="1">
      <c r="A272" s="21">
        <v>271.0</v>
      </c>
      <c r="B272" s="22">
        <v>42607.0</v>
      </c>
      <c r="C272" s="23">
        <v>132.0</v>
      </c>
      <c r="D272" s="24" t="s">
        <v>93</v>
      </c>
      <c r="E272" s="38" t="s">
        <v>22</v>
      </c>
      <c r="F272" s="26"/>
      <c r="G272" s="36" t="s">
        <v>42</v>
      </c>
      <c r="H272" s="28">
        <v>658.0</v>
      </c>
      <c r="I272" s="28">
        <v>13182.0</v>
      </c>
      <c r="J272" s="29">
        <v>8673756.0</v>
      </c>
      <c r="K272" s="29">
        <v>0.0</v>
      </c>
      <c r="L272" s="30">
        <v>0.0</v>
      </c>
      <c r="M272" s="29">
        <v>0.0</v>
      </c>
      <c r="N272" s="31" t="s">
        <v>349</v>
      </c>
      <c r="O272" s="32"/>
      <c r="P272" s="33" t="str">
        <f t="array" ref="P272">IFERROR(
HYPERLINK(
"https://drive.google.com/file/d/"&amp;
XLOOKUP(O272,'Hoa-Don'!A:A,'Hoa-Don'!D:D)
&amp;"/view",
"🔎"
),
""
)</f>
        <v/>
      </c>
    </row>
    <row r="273" ht="22.5" customHeight="1">
      <c r="A273" s="21">
        <v>272.0</v>
      </c>
      <c r="B273" s="22">
        <v>42607.0</v>
      </c>
      <c r="C273" s="23">
        <v>132.0</v>
      </c>
      <c r="D273" s="24" t="s">
        <v>93</v>
      </c>
      <c r="E273" s="25" t="s">
        <v>11</v>
      </c>
      <c r="F273" s="26"/>
      <c r="G273" s="36" t="s">
        <v>42</v>
      </c>
      <c r="H273" s="28">
        <v>10800.0</v>
      </c>
      <c r="I273" s="28">
        <v>9422.141931243217</v>
      </c>
      <c r="J273" s="29">
        <v>1.0175913285742675E8</v>
      </c>
      <c r="K273" s="29">
        <v>9422.141931243217</v>
      </c>
      <c r="L273" s="30">
        <v>96520.87</v>
      </c>
      <c r="M273" s="29">
        <v>9.094333364670755E8</v>
      </c>
      <c r="N273" s="31" t="s">
        <v>350</v>
      </c>
      <c r="O273" s="32"/>
      <c r="P273" s="33" t="str">
        <f t="array" ref="P273">IFERROR(
HYPERLINK(
"https://drive.google.com/file/d/"&amp;
XLOOKUP(O273,'Hoa-Don'!A:A,'Hoa-Don'!D:D)
&amp;"/view",
"🔎"
),
""
)</f>
        <v/>
      </c>
    </row>
    <row r="274" ht="22.5" customHeight="1">
      <c r="A274" s="21">
        <v>273.0</v>
      </c>
      <c r="B274" s="22">
        <v>42607.0</v>
      </c>
      <c r="C274" s="23">
        <v>133.0</v>
      </c>
      <c r="D274" s="24" t="s">
        <v>63</v>
      </c>
      <c r="E274" s="35" t="s">
        <v>18</v>
      </c>
      <c r="F274" s="26"/>
      <c r="G274" s="36" t="s">
        <v>42</v>
      </c>
      <c r="H274" s="28">
        <v>1253.5</v>
      </c>
      <c r="I274" s="28">
        <v>8046.021381208867</v>
      </c>
      <c r="J274" s="29">
        <v>1.0085687801345315E7</v>
      </c>
      <c r="K274" s="29">
        <v>8046.021381208867</v>
      </c>
      <c r="L274" s="30">
        <v>46960.6</v>
      </c>
      <c r="M274" s="29">
        <v>3.778459916743971E8</v>
      </c>
      <c r="N274" s="31" t="s">
        <v>351</v>
      </c>
      <c r="O274" s="32"/>
      <c r="P274" s="33" t="str">
        <f t="array" ref="P274">IFERROR(
HYPERLINK(
"https://drive.google.com/file/d/"&amp;
XLOOKUP(O274,'Hoa-Don'!A:A,'Hoa-Don'!D:D)
&amp;"/view",
"🔎"
),
""
)</f>
        <v/>
      </c>
    </row>
    <row r="275" ht="22.5" customHeight="1">
      <c r="A275" s="21">
        <v>274.0</v>
      </c>
      <c r="B275" s="22">
        <v>42608.0</v>
      </c>
      <c r="C275" s="23">
        <v>134.0</v>
      </c>
      <c r="D275" s="24" t="s">
        <v>146</v>
      </c>
      <c r="E275" s="35" t="s">
        <v>18</v>
      </c>
      <c r="F275" s="26"/>
      <c r="G275" s="36" t="s">
        <v>42</v>
      </c>
      <c r="H275" s="28">
        <v>1000.0</v>
      </c>
      <c r="I275" s="28">
        <v>8046.021381208867</v>
      </c>
      <c r="J275" s="29">
        <v>8046021.381208867</v>
      </c>
      <c r="K275" s="29">
        <v>8046.021381208867</v>
      </c>
      <c r="L275" s="30">
        <v>45960.6</v>
      </c>
      <c r="M275" s="29">
        <v>3.697999702931882E8</v>
      </c>
      <c r="N275" s="31" t="s">
        <v>352</v>
      </c>
      <c r="O275" s="32"/>
      <c r="P275" s="33" t="str">
        <f t="array" ref="P275">IFERROR(
HYPERLINK(
"https://drive.google.com/file/d/"&amp;
XLOOKUP(O275,'Hoa-Don'!A:A,'Hoa-Don'!D:D)
&amp;"/view",
"🔎"
),
""
)</f>
        <v/>
      </c>
    </row>
    <row r="276" ht="22.5" customHeight="1">
      <c r="A276" s="21">
        <v>275.0</v>
      </c>
      <c r="B276" s="22">
        <v>42608.0</v>
      </c>
      <c r="C276" s="23">
        <v>134.0</v>
      </c>
      <c r="D276" s="24" t="s">
        <v>146</v>
      </c>
      <c r="E276" s="37" t="s">
        <v>16</v>
      </c>
      <c r="F276" s="26"/>
      <c r="G276" s="36" t="s">
        <v>42</v>
      </c>
      <c r="H276" s="28">
        <v>435.0</v>
      </c>
      <c r="I276" s="28">
        <v>11729.13947917753</v>
      </c>
      <c r="J276" s="29">
        <v>5102175.673442225</v>
      </c>
      <c r="K276" s="29">
        <v>11729.13947917753</v>
      </c>
      <c r="L276" s="30">
        <v>524.0</v>
      </c>
      <c r="M276" s="29">
        <v>6146069.087089025</v>
      </c>
      <c r="N276" s="31" t="s">
        <v>353</v>
      </c>
      <c r="O276" s="32"/>
      <c r="P276" s="33" t="str">
        <f t="array" ref="P276">IFERROR(
HYPERLINK(
"https://drive.google.com/file/d/"&amp;
XLOOKUP(O276,'Hoa-Don'!A:A,'Hoa-Don'!D:D)
&amp;"/view",
"🔎"
),
""
)</f>
        <v/>
      </c>
    </row>
    <row r="277" ht="22.5" customHeight="1">
      <c r="A277" s="21">
        <v>276.0</v>
      </c>
      <c r="B277" s="22">
        <v>42609.0</v>
      </c>
      <c r="C277" s="23">
        <v>135.0</v>
      </c>
      <c r="D277" s="24" t="s">
        <v>130</v>
      </c>
      <c r="E277" s="35" t="s">
        <v>18</v>
      </c>
      <c r="F277" s="26"/>
      <c r="G277" s="36" t="s">
        <v>42</v>
      </c>
      <c r="H277" s="28">
        <v>405.0</v>
      </c>
      <c r="I277" s="28">
        <v>8046.021381208867</v>
      </c>
      <c r="J277" s="29">
        <v>3258638.659389591</v>
      </c>
      <c r="K277" s="29">
        <v>8046.021381208867</v>
      </c>
      <c r="L277" s="30">
        <v>45555.6</v>
      </c>
      <c r="M277" s="29">
        <v>3.6654133163379866E8</v>
      </c>
      <c r="N277" s="31" t="s">
        <v>354</v>
      </c>
      <c r="O277" s="32"/>
      <c r="P277" s="33" t="str">
        <f t="array" ref="P277">IFERROR(
HYPERLINK(
"https://drive.google.com/file/d/"&amp;
XLOOKUP(O277,'Hoa-Don'!A:A,'Hoa-Don'!D:D)
&amp;"/view",
"🔎"
),
""
)</f>
        <v/>
      </c>
    </row>
    <row r="278" ht="22.5" customHeight="1">
      <c r="A278" s="21">
        <v>277.0</v>
      </c>
      <c r="B278" s="22">
        <v>42610.0</v>
      </c>
      <c r="C278" s="23">
        <v>1157.0</v>
      </c>
      <c r="D278" s="24" t="s">
        <v>37</v>
      </c>
      <c r="E278" s="37" t="s">
        <v>16</v>
      </c>
      <c r="F278" s="26"/>
      <c r="G278" s="27" t="s">
        <v>38</v>
      </c>
      <c r="H278" s="28">
        <v>1500.0</v>
      </c>
      <c r="I278" s="28">
        <v>12900.0</v>
      </c>
      <c r="J278" s="29">
        <v>1.935E7</v>
      </c>
      <c r="K278" s="29">
        <v>12596.872078601296</v>
      </c>
      <c r="L278" s="30">
        <v>2024.0</v>
      </c>
      <c r="M278" s="29">
        <v>2.5496069087089024E7</v>
      </c>
      <c r="N278" s="31" t="s">
        <v>355</v>
      </c>
      <c r="O278" s="32"/>
      <c r="P278" s="33" t="str">
        <f t="array" ref="P278">IFERROR(
HYPERLINK(
"https://drive.google.com/file/d/"&amp;
XLOOKUP(O278,'Hoa-Don'!A:A,'Hoa-Don'!D:D)
&amp;"/view",
"🔎"
),
""
)</f>
        <v/>
      </c>
    </row>
    <row r="279" ht="22.5" customHeight="1">
      <c r="A279" s="21">
        <v>278.0</v>
      </c>
      <c r="B279" s="22">
        <v>42610.0</v>
      </c>
      <c r="C279" s="23">
        <v>136.0</v>
      </c>
      <c r="D279" s="24" t="s">
        <v>146</v>
      </c>
      <c r="E279" s="37" t="s">
        <v>16</v>
      </c>
      <c r="F279" s="26"/>
      <c r="G279" s="36" t="s">
        <v>42</v>
      </c>
      <c r="H279" s="28">
        <v>600.0</v>
      </c>
      <c r="I279" s="28">
        <v>12596.872078601296</v>
      </c>
      <c r="J279" s="29">
        <v>7558123.247160777</v>
      </c>
      <c r="K279" s="29">
        <v>12596.872078601296</v>
      </c>
      <c r="L279" s="30">
        <v>1424.0</v>
      </c>
      <c r="M279" s="29">
        <v>1.7937945839928247E7</v>
      </c>
      <c r="N279" s="31" t="s">
        <v>356</v>
      </c>
      <c r="O279" s="32"/>
      <c r="P279" s="33" t="str">
        <f t="array" ref="P279">IFERROR(
HYPERLINK(
"https://drive.google.com/file/d/"&amp;
XLOOKUP(O279,'Hoa-Don'!A:A,'Hoa-Don'!D:D)
&amp;"/view",
"🔎"
),
""
)</f>
        <v/>
      </c>
    </row>
    <row r="280" ht="22.5" customHeight="1">
      <c r="A280" s="21">
        <v>279.0</v>
      </c>
      <c r="B280" s="22">
        <v>42610.0</v>
      </c>
      <c r="C280" s="23">
        <v>136.0</v>
      </c>
      <c r="D280" s="24" t="s">
        <v>146</v>
      </c>
      <c r="E280" s="35" t="s">
        <v>18</v>
      </c>
      <c r="F280" s="26"/>
      <c r="G280" s="36" t="s">
        <v>42</v>
      </c>
      <c r="H280" s="28">
        <v>800.0</v>
      </c>
      <c r="I280" s="28">
        <v>8046.021381208867</v>
      </c>
      <c r="J280" s="29">
        <v>6436817.104967093</v>
      </c>
      <c r="K280" s="29">
        <v>8046.021381208867</v>
      </c>
      <c r="L280" s="30">
        <v>44755.6</v>
      </c>
      <c r="M280" s="29">
        <v>3.6010451452883154E8</v>
      </c>
      <c r="N280" s="31" t="s">
        <v>357</v>
      </c>
      <c r="O280" s="32"/>
      <c r="P280" s="33" t="str">
        <f t="array" ref="P280">IFERROR(
HYPERLINK(
"https://drive.google.com/file/d/"&amp;
XLOOKUP(O280,'Hoa-Don'!A:A,'Hoa-Don'!D:D)
&amp;"/view",
"🔎"
),
""
)</f>
        <v/>
      </c>
    </row>
    <row r="281" ht="22.5" customHeight="1">
      <c r="A281" s="21">
        <v>280.0</v>
      </c>
      <c r="B281" s="22">
        <v>42610.0</v>
      </c>
      <c r="C281" s="23">
        <v>137.0</v>
      </c>
      <c r="D281" s="24" t="s">
        <v>63</v>
      </c>
      <c r="E281" s="35" t="s">
        <v>18</v>
      </c>
      <c r="F281" s="26"/>
      <c r="G281" s="36" t="s">
        <v>42</v>
      </c>
      <c r="H281" s="28">
        <v>769.0</v>
      </c>
      <c r="I281" s="28">
        <v>8046.021381208867</v>
      </c>
      <c r="J281" s="29">
        <v>6187390.442149619</v>
      </c>
      <c r="K281" s="29">
        <v>8046.021381208867</v>
      </c>
      <c r="L281" s="30">
        <v>43986.6</v>
      </c>
      <c r="M281" s="29">
        <v>3.539171240866819E8</v>
      </c>
      <c r="N281" s="31" t="s">
        <v>358</v>
      </c>
      <c r="O281" s="32"/>
      <c r="P281" s="33" t="str">
        <f t="array" ref="P281">IFERROR(
HYPERLINK(
"https://drive.google.com/file/d/"&amp;
XLOOKUP(O281,'Hoa-Don'!A:A,'Hoa-Don'!D:D)
&amp;"/view",
"🔎"
),
""
)</f>
        <v/>
      </c>
    </row>
    <row r="282" ht="22.5" customHeight="1">
      <c r="A282" s="21">
        <v>281.0</v>
      </c>
      <c r="B282" s="22">
        <v>42611.0</v>
      </c>
      <c r="C282" s="23">
        <v>138.0</v>
      </c>
      <c r="D282" s="24" t="s">
        <v>130</v>
      </c>
      <c r="E282" s="25" t="s">
        <v>11</v>
      </c>
      <c r="F282" s="26"/>
      <c r="G282" s="36" t="s">
        <v>42</v>
      </c>
      <c r="H282" s="28">
        <v>620.0</v>
      </c>
      <c r="I282" s="28">
        <v>9422.141931243217</v>
      </c>
      <c r="J282" s="29">
        <v>5841727.997370794</v>
      </c>
      <c r="K282" s="29">
        <v>9422.141931243217</v>
      </c>
      <c r="L282" s="30">
        <v>95900.87</v>
      </c>
      <c r="M282" s="29">
        <v>9.035916084697046E8</v>
      </c>
      <c r="N282" s="31" t="s">
        <v>359</v>
      </c>
      <c r="O282" s="32"/>
      <c r="P282" s="33" t="str">
        <f t="array" ref="P282">IFERROR(
HYPERLINK(
"https://drive.google.com/file/d/"&amp;
XLOOKUP(O282,'Hoa-Don'!A:A,'Hoa-Don'!D:D)
&amp;"/view",
"🔎"
),
""
)</f>
        <v/>
      </c>
    </row>
    <row r="283" ht="22.5" customHeight="1">
      <c r="A283" s="21">
        <v>282.0</v>
      </c>
      <c r="B283" s="22">
        <v>42612.0</v>
      </c>
      <c r="C283" s="23">
        <v>139.0</v>
      </c>
      <c r="D283" s="24" t="s">
        <v>146</v>
      </c>
      <c r="E283" s="37" t="s">
        <v>16</v>
      </c>
      <c r="F283" s="26"/>
      <c r="G283" s="36" t="s">
        <v>42</v>
      </c>
      <c r="H283" s="28">
        <v>1085.0</v>
      </c>
      <c r="I283" s="28">
        <v>12596.872078601296</v>
      </c>
      <c r="J283" s="29">
        <v>1.3667606205282407E7</v>
      </c>
      <c r="K283" s="29">
        <v>12596.872078601296</v>
      </c>
      <c r="L283" s="30">
        <v>339.0</v>
      </c>
      <c r="M283" s="29">
        <v>4270339.634645839</v>
      </c>
      <c r="N283" s="31" t="s">
        <v>360</v>
      </c>
      <c r="O283" s="32"/>
      <c r="P283" s="33" t="str">
        <f t="array" ref="P283">IFERROR(
HYPERLINK(
"https://drive.google.com/file/d/"&amp;
XLOOKUP(O283,'Hoa-Don'!A:A,'Hoa-Don'!D:D)
&amp;"/view",
"🔎"
),
""
)</f>
        <v/>
      </c>
    </row>
    <row r="284" ht="22.5" customHeight="1">
      <c r="A284" s="21">
        <v>283.0</v>
      </c>
      <c r="B284" s="22">
        <v>42614.0</v>
      </c>
      <c r="C284" s="23">
        <v>140.0</v>
      </c>
      <c r="D284" s="24" t="s">
        <v>63</v>
      </c>
      <c r="E284" s="35" t="s">
        <v>18</v>
      </c>
      <c r="F284" s="26"/>
      <c r="G284" s="36" t="s">
        <v>42</v>
      </c>
      <c r="H284" s="28">
        <v>55.0</v>
      </c>
      <c r="I284" s="28">
        <v>8046.021381208867</v>
      </c>
      <c r="J284" s="29">
        <v>442531.1759664877</v>
      </c>
      <c r="K284" s="29">
        <v>8046.021381208867</v>
      </c>
      <c r="L284" s="30">
        <v>43931.6</v>
      </c>
      <c r="M284" s="29">
        <v>3.5347459291071546E8</v>
      </c>
      <c r="N284" s="31" t="s">
        <v>361</v>
      </c>
      <c r="O284" s="32"/>
      <c r="P284" s="33" t="str">
        <f t="array" ref="P284">IFERROR(
HYPERLINK(
"https://drive.google.com/file/d/"&amp;
XLOOKUP(O284,'Hoa-Don'!A:A,'Hoa-Don'!D:D)
&amp;"/view",
"🔎"
),
""
)</f>
        <v/>
      </c>
    </row>
    <row r="285" ht="22.5" customHeight="1">
      <c r="A285" s="21">
        <v>284.0</v>
      </c>
      <c r="B285" s="22">
        <v>42614.0</v>
      </c>
      <c r="C285" s="23">
        <v>140.0</v>
      </c>
      <c r="D285" s="24" t="s">
        <v>63</v>
      </c>
      <c r="E285" s="37" t="s">
        <v>16</v>
      </c>
      <c r="F285" s="26"/>
      <c r="G285" s="36" t="s">
        <v>42</v>
      </c>
      <c r="H285" s="28">
        <v>175.0</v>
      </c>
      <c r="I285" s="28">
        <v>12596.872078601296</v>
      </c>
      <c r="J285" s="29">
        <v>2204452.613755227</v>
      </c>
      <c r="K285" s="29">
        <v>12596.872078601296</v>
      </c>
      <c r="L285" s="30">
        <v>164.0</v>
      </c>
      <c r="M285" s="29">
        <v>2065887.0208906126</v>
      </c>
      <c r="N285" s="31" t="s">
        <v>362</v>
      </c>
      <c r="O285" s="32"/>
      <c r="P285" s="33" t="str">
        <f t="array" ref="P285">IFERROR(
HYPERLINK(
"https://drive.google.com/file/d/"&amp;
XLOOKUP(O285,'Hoa-Don'!A:A,'Hoa-Don'!D:D)
&amp;"/view",
"🔎"
),
""
)</f>
        <v/>
      </c>
    </row>
    <row r="286" ht="22.5" customHeight="1">
      <c r="A286" s="21">
        <v>285.0</v>
      </c>
      <c r="B286" s="22">
        <v>42619.0</v>
      </c>
      <c r="C286" s="23">
        <v>1238.0</v>
      </c>
      <c r="D286" s="24" t="s">
        <v>86</v>
      </c>
      <c r="E286" s="25" t="s">
        <v>11</v>
      </c>
      <c r="F286" s="26"/>
      <c r="G286" s="27" t="s">
        <v>38</v>
      </c>
      <c r="H286" s="28">
        <v>5720.0</v>
      </c>
      <c r="I286" s="28">
        <v>9896.85</v>
      </c>
      <c r="J286" s="29">
        <v>5.6609982E7</v>
      </c>
      <c r="K286" s="29">
        <v>9448.86213304122</v>
      </c>
      <c r="L286" s="30">
        <v>101620.87</v>
      </c>
      <c r="M286" s="29">
        <v>9.602015904697046E8</v>
      </c>
      <c r="N286" s="31" t="s">
        <v>363</v>
      </c>
      <c r="O286" s="32"/>
      <c r="P286" s="33" t="str">
        <f t="array" ref="P286">IFERROR(
HYPERLINK(
"https://drive.google.com/file/d/"&amp;
XLOOKUP(O286,'Hoa-Don'!A:A,'Hoa-Don'!D:D)
&amp;"/view",
"🔎"
),
""
)</f>
        <v/>
      </c>
    </row>
    <row r="287" ht="22.5" customHeight="1">
      <c r="A287" s="21">
        <v>286.0</v>
      </c>
      <c r="B287" s="22">
        <v>42619.0</v>
      </c>
      <c r="C287" s="23">
        <v>141.0</v>
      </c>
      <c r="D287" s="24" t="s">
        <v>130</v>
      </c>
      <c r="E287" s="35" t="s">
        <v>18</v>
      </c>
      <c r="F287" s="26"/>
      <c r="G287" s="36" t="s">
        <v>42</v>
      </c>
      <c r="H287" s="28">
        <v>340.0</v>
      </c>
      <c r="I287" s="28">
        <v>8046.021381208867</v>
      </c>
      <c r="J287" s="29">
        <v>2735647.2696110145</v>
      </c>
      <c r="K287" s="29">
        <v>8046.021381208867</v>
      </c>
      <c r="L287" s="30">
        <v>43591.6</v>
      </c>
      <c r="M287" s="29">
        <v>3.507389456411044E8</v>
      </c>
      <c r="N287" s="31" t="s">
        <v>364</v>
      </c>
      <c r="O287" s="32"/>
      <c r="P287" s="33" t="str">
        <f t="array" ref="P287">IFERROR(
HYPERLINK(
"https://drive.google.com/file/d/"&amp;
XLOOKUP(O287,'Hoa-Don'!A:A,'Hoa-Don'!D:D)
&amp;"/view",
"🔎"
),
""
)</f>
        <v/>
      </c>
    </row>
    <row r="288" ht="22.5" customHeight="1">
      <c r="A288" s="21">
        <v>287.0</v>
      </c>
      <c r="B288" s="22">
        <v>42620.0</v>
      </c>
      <c r="C288" s="23">
        <v>2794.0</v>
      </c>
      <c r="D288" s="24" t="s">
        <v>246</v>
      </c>
      <c r="E288" s="25" t="s">
        <v>11</v>
      </c>
      <c r="F288" s="26"/>
      <c r="G288" s="27" t="s">
        <v>38</v>
      </c>
      <c r="H288" s="28">
        <v>1147.0</v>
      </c>
      <c r="I288" s="28">
        <v>11090.9</v>
      </c>
      <c r="J288" s="29">
        <v>1.2721262299999999E7</v>
      </c>
      <c r="K288" s="29">
        <v>9467.18904235054</v>
      </c>
      <c r="L288" s="30">
        <v>102767.87</v>
      </c>
      <c r="M288" s="29">
        <v>9.729228527697046E8</v>
      </c>
      <c r="N288" s="31" t="s">
        <v>365</v>
      </c>
      <c r="O288" s="32"/>
      <c r="P288" s="33" t="str">
        <f t="array" ref="P288">IFERROR(
HYPERLINK(
"https://drive.google.com/file/d/"&amp;
XLOOKUP(O288,'Hoa-Don'!A:A,'Hoa-Don'!D:D)
&amp;"/view",
"🔎"
),
""
)</f>
        <v/>
      </c>
    </row>
    <row r="289" ht="22.5" customHeight="1">
      <c r="A289" s="21">
        <v>288.0</v>
      </c>
      <c r="B289" s="22">
        <v>42620.0</v>
      </c>
      <c r="C289" s="23">
        <v>2794.0</v>
      </c>
      <c r="D289" s="24" t="s">
        <v>246</v>
      </c>
      <c r="E289" s="25" t="s">
        <v>11</v>
      </c>
      <c r="F289" s="26"/>
      <c r="G289" s="27" t="s">
        <v>38</v>
      </c>
      <c r="H289" s="28">
        <v>863.0</v>
      </c>
      <c r="I289" s="28">
        <v>11090.9</v>
      </c>
      <c r="J289" s="29">
        <v>9571446.7</v>
      </c>
      <c r="K289" s="29">
        <v>9480.710713609802</v>
      </c>
      <c r="L289" s="30">
        <v>103630.87</v>
      </c>
      <c r="M289" s="29">
        <v>9.824942994697046E8</v>
      </c>
      <c r="N289" s="31" t="s">
        <v>366</v>
      </c>
      <c r="O289" s="32"/>
      <c r="P289" s="33" t="str">
        <f t="array" ref="P289">IFERROR(
HYPERLINK(
"https://drive.google.com/file/d/"&amp;
XLOOKUP(O289,'Hoa-Don'!A:A,'Hoa-Don'!D:D)
&amp;"/view",
"🔎"
),
""
)</f>
        <v/>
      </c>
    </row>
    <row r="290" ht="22.5" customHeight="1">
      <c r="A290" s="21">
        <v>289.0</v>
      </c>
      <c r="B290" s="22">
        <v>42621.0</v>
      </c>
      <c r="C290" s="23">
        <v>1257.0</v>
      </c>
      <c r="D290" s="24" t="s">
        <v>86</v>
      </c>
      <c r="E290" s="35" t="s">
        <v>18</v>
      </c>
      <c r="F290" s="26"/>
      <c r="G290" s="27" t="s">
        <v>38</v>
      </c>
      <c r="H290" s="28">
        <v>6100.0</v>
      </c>
      <c r="I290" s="28">
        <v>9090.91</v>
      </c>
      <c r="J290" s="29">
        <v>5.5454551E7</v>
      </c>
      <c r="K290" s="29">
        <v>8174.288947047477</v>
      </c>
      <c r="L290" s="30">
        <v>49691.6</v>
      </c>
      <c r="M290" s="29">
        <v>4.061934966411044E8</v>
      </c>
      <c r="N290" s="31" t="s">
        <v>367</v>
      </c>
      <c r="O290" s="32"/>
      <c r="P290" s="33" t="str">
        <f t="array" ref="P290">IFERROR(
HYPERLINK(
"https://drive.google.com/file/d/"&amp;
XLOOKUP(O290,'Hoa-Don'!A:A,'Hoa-Don'!D:D)
&amp;"/view",
"🔎"
),
""
)</f>
        <v/>
      </c>
    </row>
    <row r="291" ht="22.5" customHeight="1">
      <c r="A291" s="21">
        <v>290.0</v>
      </c>
      <c r="B291" s="22">
        <v>42621.0</v>
      </c>
      <c r="C291" s="23">
        <v>2890.0</v>
      </c>
      <c r="D291" s="24" t="s">
        <v>246</v>
      </c>
      <c r="E291" s="25" t="s">
        <v>11</v>
      </c>
      <c r="F291" s="26"/>
      <c r="G291" s="27" t="s">
        <v>38</v>
      </c>
      <c r="H291" s="28">
        <v>863.0</v>
      </c>
      <c r="I291" s="28">
        <v>11090.9</v>
      </c>
      <c r="J291" s="29">
        <v>9571446.7</v>
      </c>
      <c r="K291" s="29">
        <v>9494.009037752212</v>
      </c>
      <c r="L291" s="30">
        <v>104493.87</v>
      </c>
      <c r="M291" s="29">
        <v>9.920657461697047E8</v>
      </c>
      <c r="N291" s="31" t="s">
        <v>368</v>
      </c>
      <c r="O291" s="32"/>
      <c r="P291" s="33" t="str">
        <f t="array" ref="P291">IFERROR(
HYPERLINK(
"https://drive.google.com/file/d/"&amp;
XLOOKUP(O291,'Hoa-Don'!A:A,'Hoa-Don'!D:D)
&amp;"/view",
"🔎"
),
""
)</f>
        <v/>
      </c>
    </row>
    <row r="292" ht="22.5" customHeight="1">
      <c r="A292" s="21">
        <v>291.0</v>
      </c>
      <c r="B292" s="22">
        <v>42622.0</v>
      </c>
      <c r="C292" s="23">
        <v>2896.0</v>
      </c>
      <c r="D292" s="24" t="s">
        <v>246</v>
      </c>
      <c r="E292" s="25" t="s">
        <v>11</v>
      </c>
      <c r="F292" s="26"/>
      <c r="G292" s="27" t="s">
        <v>38</v>
      </c>
      <c r="H292" s="28">
        <v>1043.0</v>
      </c>
      <c r="I292" s="28">
        <v>11090.9</v>
      </c>
      <c r="J292" s="29">
        <v>1.15678087E7</v>
      </c>
      <c r="K292" s="29">
        <v>9509.790795100374</v>
      </c>
      <c r="L292" s="30">
        <v>105536.87</v>
      </c>
      <c r="M292" s="29">
        <v>1.0036335548697047E9</v>
      </c>
      <c r="N292" s="31" t="s">
        <v>369</v>
      </c>
      <c r="O292" s="32"/>
      <c r="P292" s="33" t="str">
        <f t="array" ref="P292">IFERROR(
HYPERLINK(
"https://drive.google.com/file/d/"&amp;
XLOOKUP(O292,'Hoa-Don'!A:A,'Hoa-Don'!D:D)
&amp;"/view",
"🔎"
),
""
)</f>
        <v/>
      </c>
    </row>
    <row r="293" ht="22.5" customHeight="1">
      <c r="A293" s="21">
        <v>292.0</v>
      </c>
      <c r="B293" s="22">
        <v>42623.0</v>
      </c>
      <c r="C293" s="23">
        <v>142.0</v>
      </c>
      <c r="D293" s="24" t="s">
        <v>93</v>
      </c>
      <c r="E293" s="25" t="s">
        <v>11</v>
      </c>
      <c r="F293" s="26"/>
      <c r="G293" s="36" t="s">
        <v>42</v>
      </c>
      <c r="H293" s="28">
        <v>1043.0</v>
      </c>
      <c r="I293" s="28">
        <v>9509.790795100374</v>
      </c>
      <c r="J293" s="29">
        <v>9918711.79928969</v>
      </c>
      <c r="K293" s="29">
        <v>9509.790795100374</v>
      </c>
      <c r="L293" s="30">
        <v>104493.87</v>
      </c>
      <c r="M293" s="29">
        <v>9.937148430704151E8</v>
      </c>
      <c r="N293" s="31" t="s">
        <v>370</v>
      </c>
      <c r="O293" s="32"/>
      <c r="P293" s="33" t="str">
        <f t="array" ref="P293">IFERROR(
HYPERLINK(
"https://drive.google.com/file/d/"&amp;
XLOOKUP(O293,'Hoa-Don'!A:A,'Hoa-Don'!D:D)
&amp;"/view",
"🔎"
),
""
)</f>
        <v/>
      </c>
    </row>
    <row r="294" ht="22.5" customHeight="1">
      <c r="A294" s="21">
        <v>293.0</v>
      </c>
      <c r="B294" s="22">
        <v>42623.0</v>
      </c>
      <c r="C294" s="23">
        <v>142.0</v>
      </c>
      <c r="D294" s="24" t="s">
        <v>93</v>
      </c>
      <c r="E294" s="25" t="s">
        <v>11</v>
      </c>
      <c r="F294" s="26"/>
      <c r="G294" s="36" t="s">
        <v>42</v>
      </c>
      <c r="H294" s="28">
        <v>1726.0</v>
      </c>
      <c r="I294" s="28">
        <v>9509.790795100374</v>
      </c>
      <c r="J294" s="29">
        <v>1.6413898912343247E7</v>
      </c>
      <c r="K294" s="29">
        <v>9509.790795100374</v>
      </c>
      <c r="L294" s="30">
        <v>102767.87</v>
      </c>
      <c r="M294" s="29">
        <v>9.773009441580719E8</v>
      </c>
      <c r="N294" s="31" t="s">
        <v>371</v>
      </c>
      <c r="O294" s="32"/>
      <c r="P294" s="33" t="str">
        <f t="array" ref="P294">IFERROR(
HYPERLINK(
"https://drive.google.com/file/d/"&amp;
XLOOKUP(O294,'Hoa-Don'!A:A,'Hoa-Don'!D:D)
&amp;"/view",
"🔎"
),
""
)</f>
        <v/>
      </c>
    </row>
    <row r="295" ht="22.5" customHeight="1">
      <c r="A295" s="21">
        <v>294.0</v>
      </c>
      <c r="B295" s="22">
        <v>42623.0</v>
      </c>
      <c r="C295" s="23">
        <v>142.0</v>
      </c>
      <c r="D295" s="24" t="s">
        <v>93</v>
      </c>
      <c r="E295" s="25" t="s">
        <v>11</v>
      </c>
      <c r="F295" s="26"/>
      <c r="G295" s="36" t="s">
        <v>42</v>
      </c>
      <c r="H295" s="28">
        <v>1147.0</v>
      </c>
      <c r="I295" s="28">
        <v>9509.790795100374</v>
      </c>
      <c r="J295" s="29">
        <v>1.0907730041980129E7</v>
      </c>
      <c r="K295" s="29">
        <v>9509.790795100374</v>
      </c>
      <c r="L295" s="30">
        <v>101620.87</v>
      </c>
      <c r="M295" s="29">
        <v>9.663932141160917E8</v>
      </c>
      <c r="N295" s="31" t="s">
        <v>372</v>
      </c>
      <c r="O295" s="32"/>
      <c r="P295" s="33" t="str">
        <f t="array" ref="P295">IFERROR(
HYPERLINK(
"https://drive.google.com/file/d/"&amp;
XLOOKUP(O295,'Hoa-Don'!A:A,'Hoa-Don'!D:D)
&amp;"/view",
"🔎"
),
""
)</f>
        <v/>
      </c>
    </row>
    <row r="296" ht="22.5" customHeight="1">
      <c r="A296" s="21">
        <v>295.0</v>
      </c>
      <c r="B296" s="22">
        <v>42623.0</v>
      </c>
      <c r="C296" s="23">
        <v>142.0</v>
      </c>
      <c r="D296" s="24" t="s">
        <v>93</v>
      </c>
      <c r="E296" s="25" t="s">
        <v>11</v>
      </c>
      <c r="F296" s="26"/>
      <c r="G296" s="36" t="s">
        <v>42</v>
      </c>
      <c r="H296" s="28">
        <v>7171.0</v>
      </c>
      <c r="I296" s="28">
        <v>9509.790795100374</v>
      </c>
      <c r="J296" s="29">
        <v>6.819470979166478E7</v>
      </c>
      <c r="K296" s="29">
        <v>9509.790795100374</v>
      </c>
      <c r="L296" s="30">
        <v>94449.87</v>
      </c>
      <c r="M296" s="29">
        <v>8.98198504324427E8</v>
      </c>
      <c r="N296" s="31" t="s">
        <v>373</v>
      </c>
      <c r="O296" s="32"/>
      <c r="P296" s="33" t="str">
        <f t="array" ref="P296">IFERROR(
HYPERLINK(
"https://drive.google.com/file/d/"&amp;
XLOOKUP(O296,'Hoa-Don'!A:A,'Hoa-Don'!D:D)
&amp;"/view",
"🔎"
),
""
)</f>
        <v/>
      </c>
    </row>
    <row r="297" ht="22.5" customHeight="1">
      <c r="A297" s="21">
        <v>296.0</v>
      </c>
      <c r="B297" s="22">
        <v>42633.0</v>
      </c>
      <c r="C297" s="23">
        <v>1333.0</v>
      </c>
      <c r="D297" s="24" t="s">
        <v>86</v>
      </c>
      <c r="E297" s="25" t="s">
        <v>11</v>
      </c>
      <c r="F297" s="26"/>
      <c r="G297" s="27" t="s">
        <v>38</v>
      </c>
      <c r="H297" s="28">
        <v>2850.0</v>
      </c>
      <c r="I297" s="28">
        <v>9090.91</v>
      </c>
      <c r="J297" s="29">
        <v>2.59090935E7</v>
      </c>
      <c r="K297" s="29">
        <v>9497.521402900406</v>
      </c>
      <c r="L297" s="30">
        <v>97299.87</v>
      </c>
      <c r="M297" s="29">
        <v>9.24107597824427E8</v>
      </c>
      <c r="N297" s="31" t="s">
        <v>374</v>
      </c>
      <c r="O297" s="32"/>
      <c r="P297" s="33" t="str">
        <f t="array" ref="P297">IFERROR(
HYPERLINK(
"https://drive.google.com/file/d/"&amp;
XLOOKUP(O297,'Hoa-Don'!A:A,'Hoa-Don'!D:D)
&amp;"/view",
"🔎"
),
""
)</f>
        <v/>
      </c>
    </row>
    <row r="298" ht="22.5" customHeight="1">
      <c r="A298" s="21">
        <v>297.0</v>
      </c>
      <c r="B298" s="22">
        <v>42633.0</v>
      </c>
      <c r="C298" s="23">
        <v>1333.0</v>
      </c>
      <c r="D298" s="24" t="s">
        <v>86</v>
      </c>
      <c r="E298" s="35" t="s">
        <v>18</v>
      </c>
      <c r="F298" s="26"/>
      <c r="G298" s="27" t="s">
        <v>38</v>
      </c>
      <c r="H298" s="28">
        <v>4350.0</v>
      </c>
      <c r="I298" s="28">
        <v>8909.09</v>
      </c>
      <c r="J298" s="29">
        <v>3.87545415E7</v>
      </c>
      <c r="K298" s="29">
        <v>8233.435689193222</v>
      </c>
      <c r="L298" s="30">
        <v>54041.6</v>
      </c>
      <c r="M298" s="29">
        <v>4.449480381411044E8</v>
      </c>
      <c r="N298" s="31" t="s">
        <v>375</v>
      </c>
      <c r="O298" s="32"/>
      <c r="P298" s="33" t="str">
        <f t="array" ref="P298">IFERROR(
HYPERLINK(
"https://drive.google.com/file/d/"&amp;
XLOOKUP(O298,'Hoa-Don'!A:A,'Hoa-Don'!D:D)
&amp;"/view",
"🔎"
),
""
)</f>
        <v/>
      </c>
    </row>
    <row r="299" ht="22.5" customHeight="1">
      <c r="A299" s="21">
        <v>298.0</v>
      </c>
      <c r="B299" s="22">
        <v>42642.0</v>
      </c>
      <c r="C299" s="23">
        <v>417.0</v>
      </c>
      <c r="D299" s="24" t="s">
        <v>155</v>
      </c>
      <c r="E299" s="35" t="s">
        <v>18</v>
      </c>
      <c r="F299" s="26"/>
      <c r="G299" s="27" t="s">
        <v>38</v>
      </c>
      <c r="H299" s="28">
        <v>14918.0</v>
      </c>
      <c r="I299" s="28">
        <v>7818.2</v>
      </c>
      <c r="J299" s="29">
        <v>1.166319076E8</v>
      </c>
      <c r="K299" s="29">
        <v>8143.607934806819</v>
      </c>
      <c r="L299" s="30">
        <v>68959.6</v>
      </c>
      <c r="M299" s="29">
        <v>5.615799457411044E8</v>
      </c>
      <c r="N299" s="31" t="s">
        <v>376</v>
      </c>
      <c r="O299" s="32"/>
      <c r="P299" s="33" t="str">
        <f t="array" ref="P299">IFERROR(
HYPERLINK(
"https://drive.google.com/file/d/"&amp;
XLOOKUP(O299,'Hoa-Don'!A:A,'Hoa-Don'!D:D)
&amp;"/view",
"🔎"
),
""
)</f>
        <v/>
      </c>
    </row>
    <row r="300" ht="22.5" customHeight="1">
      <c r="A300" s="21">
        <v>299.0</v>
      </c>
      <c r="B300" s="22">
        <v>42645.0</v>
      </c>
      <c r="C300" s="23">
        <v>4074.0</v>
      </c>
      <c r="D300" s="24" t="s">
        <v>246</v>
      </c>
      <c r="E300" s="25" t="s">
        <v>11</v>
      </c>
      <c r="F300" s="26"/>
      <c r="G300" s="27" t="s">
        <v>38</v>
      </c>
      <c r="H300" s="28">
        <v>863.0</v>
      </c>
      <c r="I300" s="28">
        <v>11090.9</v>
      </c>
      <c r="J300" s="29">
        <v>9571446.7</v>
      </c>
      <c r="K300" s="29">
        <v>9511.529609152902</v>
      </c>
      <c r="L300" s="30">
        <v>98162.87</v>
      </c>
      <c r="M300" s="29">
        <v>9.33679044524427E8</v>
      </c>
      <c r="N300" s="31" t="s">
        <v>377</v>
      </c>
      <c r="O300" s="32"/>
      <c r="P300" s="33" t="str">
        <f t="array" ref="P300">IFERROR(
HYPERLINK(
"https://drive.google.com/file/d/"&amp;
XLOOKUP(O300,'Hoa-Don'!A:A,'Hoa-Don'!D:D)
&amp;"/view",
"🔎"
),
""
)</f>
        <v/>
      </c>
    </row>
    <row r="301" ht="22.5" customHeight="1">
      <c r="A301" s="21">
        <v>300.0</v>
      </c>
      <c r="B301" s="22">
        <v>42650.0</v>
      </c>
      <c r="C301" s="23">
        <v>1488.0</v>
      </c>
      <c r="D301" s="24" t="s">
        <v>86</v>
      </c>
      <c r="E301" s="25" t="s">
        <v>11</v>
      </c>
      <c r="F301" s="26"/>
      <c r="G301" s="27" t="s">
        <v>38</v>
      </c>
      <c r="H301" s="28">
        <v>4896.0</v>
      </c>
      <c r="I301" s="28">
        <v>9545.45</v>
      </c>
      <c r="J301" s="29">
        <v>4.67345232E7</v>
      </c>
      <c r="K301" s="29">
        <v>9513.14105932296</v>
      </c>
      <c r="L301" s="30">
        <v>103058.87</v>
      </c>
      <c r="M301" s="29">
        <v>9.804135677244271E8</v>
      </c>
      <c r="N301" s="31" t="s">
        <v>378</v>
      </c>
      <c r="O301" s="32"/>
      <c r="P301" s="33" t="str">
        <f t="array" ref="P301">IFERROR(
HYPERLINK(
"https://drive.google.com/file/d/"&amp;
XLOOKUP(O301,'Hoa-Don'!A:A,'Hoa-Don'!D:D)
&amp;"/view",
"🔎"
),
""
)</f>
        <v/>
      </c>
    </row>
    <row r="302" ht="22.5" customHeight="1">
      <c r="A302" s="21">
        <v>301.0</v>
      </c>
      <c r="B302" s="22">
        <v>42650.0</v>
      </c>
      <c r="C302" s="23">
        <v>1488.0</v>
      </c>
      <c r="D302" s="24" t="s">
        <v>86</v>
      </c>
      <c r="E302" s="35" t="s">
        <v>18</v>
      </c>
      <c r="F302" s="26"/>
      <c r="G302" s="27" t="s">
        <v>38</v>
      </c>
      <c r="H302" s="28">
        <v>3734.0</v>
      </c>
      <c r="I302" s="28">
        <v>8818.18</v>
      </c>
      <c r="J302" s="29">
        <v>3.292708412E7</v>
      </c>
      <c r="K302" s="29">
        <v>8178.258194134069</v>
      </c>
      <c r="L302" s="30">
        <v>72693.6</v>
      </c>
      <c r="M302" s="29">
        <v>5.945070298611044E8</v>
      </c>
      <c r="N302" s="31" t="s">
        <v>379</v>
      </c>
      <c r="O302" s="32"/>
      <c r="P302" s="33" t="str">
        <f t="array" ref="P302">IFERROR(
HYPERLINK(
"https://drive.google.com/file/d/"&amp;
XLOOKUP(O302,'Hoa-Don'!A:A,'Hoa-Don'!D:D)
&amp;"/view",
"🔎"
),
""
)</f>
        <v/>
      </c>
    </row>
    <row r="303" ht="22.5" customHeight="1">
      <c r="A303" s="21">
        <v>302.0</v>
      </c>
      <c r="B303" s="22">
        <v>42658.0</v>
      </c>
      <c r="C303" s="23">
        <v>4722.0</v>
      </c>
      <c r="D303" s="24" t="s">
        <v>246</v>
      </c>
      <c r="E303" s="25" t="s">
        <v>11</v>
      </c>
      <c r="F303" s="26"/>
      <c r="G303" s="27" t="s">
        <v>38</v>
      </c>
      <c r="H303" s="28">
        <v>699.0</v>
      </c>
      <c r="I303" s="28">
        <v>10909.1</v>
      </c>
      <c r="J303" s="29">
        <v>7625460.9</v>
      </c>
      <c r="K303" s="29">
        <v>9522.545409080074</v>
      </c>
      <c r="L303" s="30">
        <v>103757.87</v>
      </c>
      <c r="M303" s="29">
        <v>9.880390286244271E8</v>
      </c>
      <c r="N303" s="31" t="s">
        <v>380</v>
      </c>
      <c r="O303" s="32"/>
      <c r="P303" s="33" t="str">
        <f t="array" ref="P303">IFERROR(
HYPERLINK(
"https://drive.google.com/file/d/"&amp;
XLOOKUP(O303,'Hoa-Don'!A:A,'Hoa-Don'!D:D)
&amp;"/view",
"🔎"
),
""
)</f>
        <v/>
      </c>
    </row>
    <row r="304" ht="22.5" customHeight="1">
      <c r="A304" s="21">
        <v>303.0</v>
      </c>
      <c r="B304" s="22">
        <v>42658.0</v>
      </c>
      <c r="C304" s="23">
        <v>143.0</v>
      </c>
      <c r="D304" s="24" t="s">
        <v>140</v>
      </c>
      <c r="E304" s="35" t="s">
        <v>18</v>
      </c>
      <c r="F304" s="26"/>
      <c r="G304" s="36" t="s">
        <v>42</v>
      </c>
      <c r="H304" s="28">
        <v>1500.0</v>
      </c>
      <c r="I304" s="28">
        <v>8178.258194134069</v>
      </c>
      <c r="J304" s="29">
        <v>1.2267387291201103E7</v>
      </c>
      <c r="K304" s="29">
        <v>8178.258194134069</v>
      </c>
      <c r="L304" s="30">
        <v>71193.6</v>
      </c>
      <c r="M304" s="29">
        <v>5.822396425699033E8</v>
      </c>
      <c r="N304" s="31" t="s">
        <v>381</v>
      </c>
      <c r="O304" s="32"/>
      <c r="P304" s="33" t="str">
        <f t="array" ref="P304">IFERROR(
HYPERLINK(
"https://drive.google.com/file/d/"&amp;
XLOOKUP(O304,'Hoa-Don'!A:A,'Hoa-Don'!D:D)
&amp;"/view",
"🔎"
),
""
)</f>
        <v/>
      </c>
    </row>
    <row r="305" ht="22.5" customHeight="1">
      <c r="A305" s="21">
        <v>304.0</v>
      </c>
      <c r="B305" s="22">
        <v>42659.0</v>
      </c>
      <c r="C305" s="23">
        <v>4737.0</v>
      </c>
      <c r="D305" s="24" t="s">
        <v>246</v>
      </c>
      <c r="E305" s="25" t="s">
        <v>11</v>
      </c>
      <c r="F305" s="26"/>
      <c r="G305" s="27" t="s">
        <v>38</v>
      </c>
      <c r="H305" s="28">
        <v>1027.0</v>
      </c>
      <c r="I305" s="28">
        <v>10909.1</v>
      </c>
      <c r="J305" s="29">
        <v>1.1203645700000001E7</v>
      </c>
      <c r="K305" s="29">
        <v>9536.13507679522</v>
      </c>
      <c r="L305" s="30">
        <v>104784.87</v>
      </c>
      <c r="M305" s="29">
        <v>9.992426743244271E8</v>
      </c>
      <c r="N305" s="31" t="s">
        <v>382</v>
      </c>
      <c r="O305" s="32"/>
      <c r="P305" s="33" t="str">
        <f t="array" ref="P305">IFERROR(
HYPERLINK(
"https://drive.google.com/file/d/"&amp;
XLOOKUP(O305,'Hoa-Don'!A:A,'Hoa-Don'!D:D)
&amp;"/view",
"🔎"
),
""
)</f>
        <v/>
      </c>
    </row>
    <row r="306" ht="22.5" customHeight="1">
      <c r="A306" s="21">
        <v>305.0</v>
      </c>
      <c r="B306" s="22">
        <v>42659.0</v>
      </c>
      <c r="C306" s="23">
        <v>144.0</v>
      </c>
      <c r="D306" s="24" t="s">
        <v>140</v>
      </c>
      <c r="E306" s="35" t="s">
        <v>18</v>
      </c>
      <c r="F306" s="26"/>
      <c r="G306" s="36" t="s">
        <v>42</v>
      </c>
      <c r="H306" s="28">
        <v>1538.5</v>
      </c>
      <c r="I306" s="28">
        <v>8178.258194134069</v>
      </c>
      <c r="J306" s="29">
        <v>1.2582250231675265E7</v>
      </c>
      <c r="K306" s="29">
        <v>8178.258194134069</v>
      </c>
      <c r="L306" s="30">
        <v>69655.1</v>
      </c>
      <c r="M306" s="29">
        <v>5.69657392338228E8</v>
      </c>
      <c r="N306" s="31" t="s">
        <v>383</v>
      </c>
      <c r="O306" s="32"/>
      <c r="P306" s="33" t="str">
        <f t="array" ref="P306">IFERROR(
HYPERLINK(
"https://drive.google.com/file/d/"&amp;
XLOOKUP(O306,'Hoa-Don'!A:A,'Hoa-Don'!D:D)
&amp;"/view",
"🔎"
),
""
)</f>
        <v/>
      </c>
    </row>
    <row r="307" ht="22.5" customHeight="1">
      <c r="A307" s="21">
        <v>306.0</v>
      </c>
      <c r="B307" s="22">
        <v>42661.0</v>
      </c>
      <c r="C307" s="23">
        <v>145.0</v>
      </c>
      <c r="D307" s="24" t="s">
        <v>37</v>
      </c>
      <c r="E307" s="35" t="s">
        <v>18</v>
      </c>
      <c r="F307" s="26"/>
      <c r="G307" s="36" t="s">
        <v>42</v>
      </c>
      <c r="H307" s="28">
        <v>1700.0</v>
      </c>
      <c r="I307" s="28">
        <v>8178.258194134069</v>
      </c>
      <c r="J307" s="29">
        <v>1.3903038930027917E7</v>
      </c>
      <c r="K307" s="29">
        <v>8178.258194134069</v>
      </c>
      <c r="L307" s="30">
        <v>67955.1</v>
      </c>
      <c r="M307" s="29">
        <v>5.557543534082001E8</v>
      </c>
      <c r="N307" s="31" t="s">
        <v>384</v>
      </c>
      <c r="O307" s="32"/>
      <c r="P307" s="33" t="str">
        <f t="array" ref="P307">IFERROR(
HYPERLINK(
"https://drive.google.com/file/d/"&amp;
XLOOKUP(O307,'Hoa-Don'!A:A,'Hoa-Don'!D:D)
&amp;"/view",
"🔎"
),
""
)</f>
        <v/>
      </c>
    </row>
    <row r="308" ht="22.5" customHeight="1">
      <c r="A308" s="21">
        <v>307.0</v>
      </c>
      <c r="B308" s="22">
        <v>42670.0</v>
      </c>
      <c r="C308" s="23">
        <v>5286.0</v>
      </c>
      <c r="D308" s="24" t="s">
        <v>246</v>
      </c>
      <c r="E308" s="25" t="s">
        <v>11</v>
      </c>
      <c r="F308" s="26"/>
      <c r="G308" s="27" t="s">
        <v>38</v>
      </c>
      <c r="H308" s="28">
        <v>1577.0</v>
      </c>
      <c r="I308" s="28">
        <v>11090.9</v>
      </c>
      <c r="J308" s="29">
        <v>1.74903493E7</v>
      </c>
      <c r="K308" s="29">
        <v>9559.187175107274</v>
      </c>
      <c r="L308" s="30">
        <v>106361.87</v>
      </c>
      <c r="M308" s="29">
        <v>1.0167330236244271E9</v>
      </c>
      <c r="N308" s="31" t="s">
        <v>385</v>
      </c>
      <c r="O308" s="32"/>
      <c r="P308" s="33" t="str">
        <f t="array" ref="P308">IFERROR(
HYPERLINK(
"https://drive.google.com/file/d/"&amp;
XLOOKUP(O308,'Hoa-Don'!A:A,'Hoa-Don'!D:D)
&amp;"/view",
"🔎"
),
""
)</f>
        <v/>
      </c>
    </row>
    <row r="309" ht="22.5" customHeight="1">
      <c r="A309" s="21">
        <v>308.0</v>
      </c>
      <c r="B309" s="22">
        <v>42671.0</v>
      </c>
      <c r="C309" s="23">
        <v>438.0</v>
      </c>
      <c r="D309" s="24" t="s">
        <v>155</v>
      </c>
      <c r="E309" s="35" t="s">
        <v>18</v>
      </c>
      <c r="F309" s="26"/>
      <c r="G309" s="27" t="s">
        <v>38</v>
      </c>
      <c r="H309" s="28">
        <v>7790.0</v>
      </c>
      <c r="I309" s="28">
        <v>7600.19</v>
      </c>
      <c r="J309" s="29">
        <v>5.9205480099999994E7</v>
      </c>
      <c r="K309" s="29">
        <v>8118.806807413286</v>
      </c>
      <c r="L309" s="30">
        <v>75745.1</v>
      </c>
      <c r="M309" s="29">
        <v>6.149598335082002E8</v>
      </c>
      <c r="N309" s="31" t="s">
        <v>386</v>
      </c>
      <c r="O309" s="32"/>
      <c r="P309" s="33" t="str">
        <f t="array" ref="P309">IFERROR(
HYPERLINK(
"https://drive.google.com/file/d/"&amp;
XLOOKUP(O309,'Hoa-Don'!A:A,'Hoa-Don'!D:D)
&amp;"/view",
"🔎"
),
""
)</f>
        <v/>
      </c>
    </row>
    <row r="310" ht="22.5" customHeight="1">
      <c r="A310" s="21">
        <v>309.0</v>
      </c>
      <c r="B310" s="22">
        <v>42671.0</v>
      </c>
      <c r="C310" s="23">
        <v>5311.0</v>
      </c>
      <c r="D310" s="24" t="s">
        <v>246</v>
      </c>
      <c r="E310" s="25" t="s">
        <v>11</v>
      </c>
      <c r="F310" s="26"/>
      <c r="G310" s="27" t="s">
        <v>38</v>
      </c>
      <c r="H310" s="28">
        <v>717.0</v>
      </c>
      <c r="I310" s="28">
        <v>11090.9</v>
      </c>
      <c r="J310" s="29">
        <v>7952175.3</v>
      </c>
      <c r="K310" s="29">
        <v>9569.443522558906</v>
      </c>
      <c r="L310" s="30">
        <v>107078.87</v>
      </c>
      <c r="M310" s="29">
        <v>1.024685198924427E9</v>
      </c>
      <c r="N310" s="31" t="s">
        <v>387</v>
      </c>
      <c r="O310" s="32"/>
      <c r="P310" s="33" t="str">
        <f t="array" ref="P310">IFERROR(
HYPERLINK(
"https://drive.google.com/file/d/"&amp;
XLOOKUP(O310,'Hoa-Don'!A:A,'Hoa-Don'!D:D)
&amp;"/view",
"🔎"
),
""
)</f>
        <v/>
      </c>
    </row>
    <row r="311" ht="22.5" customHeight="1">
      <c r="A311" s="21">
        <v>310.0</v>
      </c>
      <c r="B311" s="22">
        <v>42671.0</v>
      </c>
      <c r="C311" s="23">
        <v>5311.0</v>
      </c>
      <c r="D311" s="24" t="s">
        <v>246</v>
      </c>
      <c r="E311" s="25" t="s">
        <v>11</v>
      </c>
      <c r="F311" s="26"/>
      <c r="G311" s="27" t="s">
        <v>38</v>
      </c>
      <c r="H311" s="28">
        <v>416.0</v>
      </c>
      <c r="I311" s="28">
        <v>11090.9</v>
      </c>
      <c r="J311" s="29">
        <v>4613814.399999999</v>
      </c>
      <c r="K311" s="29">
        <v>9575.331486278621</v>
      </c>
      <c r="L311" s="30">
        <v>107494.87</v>
      </c>
      <c r="M311" s="29">
        <v>1.029299013324427E9</v>
      </c>
      <c r="N311" s="31" t="s">
        <v>388</v>
      </c>
      <c r="O311" s="32"/>
      <c r="P311" s="33" t="str">
        <f t="array" ref="P311">IFERROR(
HYPERLINK(
"https://drive.google.com/file/d/"&amp;
XLOOKUP(O311,'Hoa-Don'!A:A,'Hoa-Don'!D:D)
&amp;"/view",
"🔎"
),
""
)</f>
        <v/>
      </c>
    </row>
    <row r="312" ht="22.5" customHeight="1">
      <c r="A312" s="21">
        <v>311.0</v>
      </c>
      <c r="B312" s="22">
        <v>42672.0</v>
      </c>
      <c r="C312" s="23">
        <v>5343.0</v>
      </c>
      <c r="D312" s="24" t="s">
        <v>246</v>
      </c>
      <c r="E312" s="25" t="s">
        <v>11</v>
      </c>
      <c r="F312" s="26"/>
      <c r="G312" s="27" t="s">
        <v>38</v>
      </c>
      <c r="H312" s="28">
        <v>1283.0</v>
      </c>
      <c r="I312" s="28">
        <v>11090.9</v>
      </c>
      <c r="J312" s="29">
        <v>1.42296247E7</v>
      </c>
      <c r="K312" s="29">
        <v>9593.207129579087</v>
      </c>
      <c r="L312" s="30">
        <v>108777.87</v>
      </c>
      <c r="M312" s="29">
        <v>1.043528638024427E9</v>
      </c>
      <c r="N312" s="31" t="s">
        <v>389</v>
      </c>
      <c r="O312" s="32"/>
      <c r="P312" s="33" t="str">
        <f t="array" ref="P312">IFERROR(
HYPERLINK(
"https://drive.google.com/file/d/"&amp;
XLOOKUP(O312,'Hoa-Don'!A:A,'Hoa-Don'!D:D)
&amp;"/view",
"🔎"
),
""
)</f>
        <v/>
      </c>
    </row>
    <row r="313" ht="22.5" customHeight="1">
      <c r="A313" s="21">
        <v>312.0</v>
      </c>
      <c r="B313" s="22">
        <v>42672.0</v>
      </c>
      <c r="C313" s="23">
        <v>5343.0</v>
      </c>
      <c r="D313" s="24" t="s">
        <v>246</v>
      </c>
      <c r="E313" s="25" t="s">
        <v>11</v>
      </c>
      <c r="F313" s="26"/>
      <c r="G313" s="27" t="s">
        <v>38</v>
      </c>
      <c r="H313" s="28">
        <v>187.0</v>
      </c>
      <c r="I313" s="28">
        <v>11090.9</v>
      </c>
      <c r="J313" s="29">
        <v>2073998.3</v>
      </c>
      <c r="K313" s="29">
        <v>9595.77739435129</v>
      </c>
      <c r="L313" s="30">
        <v>108964.87</v>
      </c>
      <c r="M313" s="29">
        <v>1.045602636324427E9</v>
      </c>
      <c r="N313" s="31" t="s">
        <v>390</v>
      </c>
      <c r="O313" s="32"/>
      <c r="P313" s="33" t="str">
        <f t="array" ref="P313">IFERROR(
HYPERLINK(
"https://drive.google.com/file/d/"&amp;
XLOOKUP(O313,'Hoa-Don'!A:A,'Hoa-Don'!D:D)
&amp;"/view",
"🔎"
),
""
)</f>
        <v/>
      </c>
    </row>
    <row r="314" ht="22.5" customHeight="1">
      <c r="A314" s="21">
        <v>313.0</v>
      </c>
      <c r="B314" s="22">
        <v>42675.0</v>
      </c>
      <c r="C314" s="23">
        <v>64.0</v>
      </c>
      <c r="D314" s="24" t="s">
        <v>253</v>
      </c>
      <c r="E314" s="25" t="s">
        <v>11</v>
      </c>
      <c r="F314" s="26"/>
      <c r="G314" s="27" t="s">
        <v>38</v>
      </c>
      <c r="H314" s="28">
        <v>3100.0</v>
      </c>
      <c r="I314" s="28">
        <v>9636.36</v>
      </c>
      <c r="J314" s="29">
        <v>2.9872716E7</v>
      </c>
      <c r="K314" s="29">
        <v>9596.900012683967</v>
      </c>
      <c r="L314" s="30">
        <v>112064.87</v>
      </c>
      <c r="M314" s="29">
        <v>1.0754753523244271E9</v>
      </c>
      <c r="N314" s="31" t="s">
        <v>391</v>
      </c>
      <c r="O314" s="32"/>
      <c r="P314" s="33" t="str">
        <f t="array" ref="P314">IFERROR(
HYPERLINK(
"https://drive.google.com/file/d/"&amp;
XLOOKUP(O314,'Hoa-Don'!A:A,'Hoa-Don'!D:D)
&amp;"/view",
"🔎"
),
""
)</f>
        <v/>
      </c>
    </row>
    <row r="315" ht="22.5" customHeight="1">
      <c r="A315" s="21">
        <v>314.0</v>
      </c>
      <c r="B315" s="22">
        <v>42682.0</v>
      </c>
      <c r="C315" s="23">
        <v>1185.0</v>
      </c>
      <c r="D315" s="24" t="s">
        <v>37</v>
      </c>
      <c r="E315" s="37" t="s">
        <v>16</v>
      </c>
      <c r="F315" s="26"/>
      <c r="G315" s="27" t="s">
        <v>38</v>
      </c>
      <c r="H315" s="28">
        <v>1000.0</v>
      </c>
      <c r="I315" s="28">
        <v>13800.0</v>
      </c>
      <c r="J315" s="29">
        <v>1.38E7</v>
      </c>
      <c r="K315" s="29">
        <v>13630.487131349324</v>
      </c>
      <c r="L315" s="30">
        <v>1164.0</v>
      </c>
      <c r="M315" s="29">
        <v>1.5865887020890612E7</v>
      </c>
      <c r="N315" s="31" t="s">
        <v>392</v>
      </c>
      <c r="O315" s="32"/>
      <c r="P315" s="33" t="str">
        <f t="array" ref="P315">IFERROR(
HYPERLINK(
"https://drive.google.com/file/d/"&amp;
XLOOKUP(O315,'Hoa-Don'!A:A,'Hoa-Don'!D:D)
&amp;"/view",
"🔎"
),
""
)</f>
        <v/>
      </c>
    </row>
    <row r="316" ht="22.5" customHeight="1">
      <c r="A316" s="21">
        <v>315.0</v>
      </c>
      <c r="B316" s="22">
        <v>42686.0</v>
      </c>
      <c r="C316" s="23">
        <v>99.0</v>
      </c>
      <c r="D316" s="24" t="s">
        <v>393</v>
      </c>
      <c r="E316" s="37" t="s">
        <v>16</v>
      </c>
      <c r="F316" s="26"/>
      <c r="G316" s="27" t="s">
        <v>38</v>
      </c>
      <c r="H316" s="28">
        <v>10514.0</v>
      </c>
      <c r="I316" s="28">
        <v>10727.27</v>
      </c>
      <c r="J316" s="29">
        <v>1.1278651678E8</v>
      </c>
      <c r="K316" s="29">
        <v>11016.647011550831</v>
      </c>
      <c r="L316" s="30">
        <v>11678.0</v>
      </c>
      <c r="M316" s="29">
        <v>1.2865240380089061E8</v>
      </c>
      <c r="N316" s="31" t="s">
        <v>394</v>
      </c>
      <c r="O316" s="32"/>
      <c r="P316" s="33" t="str">
        <f t="array" ref="P316">IFERROR(
HYPERLINK(
"https://drive.google.com/file/d/"&amp;
XLOOKUP(O316,'Hoa-Don'!A:A,'Hoa-Don'!D:D)
&amp;"/view",
"🔎"
),
""
)</f>
        <v/>
      </c>
    </row>
    <row r="317" ht="22.5" customHeight="1">
      <c r="A317" s="21">
        <v>316.0</v>
      </c>
      <c r="B317" s="22">
        <v>42686.0</v>
      </c>
      <c r="C317" s="23">
        <v>146.0</v>
      </c>
      <c r="D317" s="24" t="s">
        <v>395</v>
      </c>
      <c r="E317" s="37" t="s">
        <v>16</v>
      </c>
      <c r="F317" s="26"/>
      <c r="G317" s="36" t="s">
        <v>42</v>
      </c>
      <c r="H317" s="28">
        <v>1973.0</v>
      </c>
      <c r="I317" s="28">
        <v>11016.647011550831</v>
      </c>
      <c r="J317" s="29">
        <v>2.173584455378979E7</v>
      </c>
      <c r="K317" s="29">
        <v>11016.647011550831</v>
      </c>
      <c r="L317" s="30">
        <v>9705.0</v>
      </c>
      <c r="M317" s="29">
        <v>1.0691655924710082E8</v>
      </c>
      <c r="N317" s="31" t="s">
        <v>396</v>
      </c>
      <c r="O317" s="32"/>
      <c r="P317" s="33" t="str">
        <f t="array" ref="P317">IFERROR(
HYPERLINK(
"https://drive.google.com/file/d/"&amp;
XLOOKUP(O317,'Hoa-Don'!A:A,'Hoa-Don'!D:D)
&amp;"/view",
"🔎"
),
""
)</f>
        <v/>
      </c>
    </row>
    <row r="318" ht="22.5" customHeight="1">
      <c r="A318" s="21">
        <v>317.0</v>
      </c>
      <c r="B318" s="22">
        <v>42686.0</v>
      </c>
      <c r="C318" s="23">
        <v>146.0</v>
      </c>
      <c r="D318" s="24" t="s">
        <v>395</v>
      </c>
      <c r="E318" s="35" t="s">
        <v>18</v>
      </c>
      <c r="F318" s="26"/>
      <c r="G318" s="36" t="s">
        <v>42</v>
      </c>
      <c r="H318" s="28">
        <v>63.0</v>
      </c>
      <c r="I318" s="28">
        <v>8118.806807413286</v>
      </c>
      <c r="J318" s="29">
        <v>511484.828867037</v>
      </c>
      <c r="K318" s="29">
        <v>8118.806807413286</v>
      </c>
      <c r="L318" s="30">
        <v>75682.1</v>
      </c>
      <c r="M318" s="29">
        <v>6.144483486793331E8</v>
      </c>
      <c r="N318" s="31" t="s">
        <v>397</v>
      </c>
      <c r="O318" s="32"/>
      <c r="P318" s="33" t="str">
        <f t="array" ref="P318">IFERROR(
HYPERLINK(
"https://drive.google.com/file/d/"&amp;
XLOOKUP(O318,'Hoa-Don'!A:A,'Hoa-Don'!D:D)
&amp;"/view",
"🔎"
),
""
)</f>
        <v/>
      </c>
    </row>
    <row r="319" ht="22.5" customHeight="1">
      <c r="A319" s="21">
        <v>318.0</v>
      </c>
      <c r="B319" s="22">
        <v>42686.0</v>
      </c>
      <c r="C319" s="23">
        <v>147.0</v>
      </c>
      <c r="D319" s="24" t="s">
        <v>37</v>
      </c>
      <c r="E319" s="35" t="s">
        <v>18</v>
      </c>
      <c r="F319" s="26"/>
      <c r="G319" s="36" t="s">
        <v>42</v>
      </c>
      <c r="H319" s="28">
        <v>1790.0</v>
      </c>
      <c r="I319" s="28">
        <v>8118.806807413286</v>
      </c>
      <c r="J319" s="29">
        <v>1.4532664185269782E7</v>
      </c>
      <c r="K319" s="29">
        <v>8118.806807413286</v>
      </c>
      <c r="L319" s="30">
        <v>73892.1</v>
      </c>
      <c r="M319" s="29">
        <v>5.999156844940634E8</v>
      </c>
      <c r="N319" s="31" t="s">
        <v>398</v>
      </c>
      <c r="O319" s="32"/>
      <c r="P319" s="33" t="str">
        <f t="array" ref="P319">IFERROR(
HYPERLINK(
"https://drive.google.com/file/d/"&amp;
XLOOKUP(O319,'Hoa-Don'!A:A,'Hoa-Don'!D:D)
&amp;"/view",
"🔎"
),
""
)</f>
        <v/>
      </c>
    </row>
    <row r="320" ht="22.5" customHeight="1">
      <c r="A320" s="21">
        <v>319.0</v>
      </c>
      <c r="B320" s="22">
        <v>42687.0</v>
      </c>
      <c r="C320" s="23">
        <v>1190.0</v>
      </c>
      <c r="D320" s="24" t="s">
        <v>37</v>
      </c>
      <c r="E320" s="37" t="s">
        <v>16</v>
      </c>
      <c r="F320" s="26"/>
      <c r="G320" s="27" t="s">
        <v>38</v>
      </c>
      <c r="H320" s="28">
        <v>1000.0</v>
      </c>
      <c r="I320" s="28">
        <v>13800.0</v>
      </c>
      <c r="J320" s="29">
        <v>1.38E7</v>
      </c>
      <c r="K320" s="29">
        <v>11276.651961429316</v>
      </c>
      <c r="L320" s="30">
        <v>10705.0</v>
      </c>
      <c r="M320" s="29">
        <v>1.2071655924710082E8</v>
      </c>
      <c r="N320" s="31" t="s">
        <v>399</v>
      </c>
      <c r="O320" s="32"/>
      <c r="P320" s="33" t="str">
        <f t="array" ref="P320">IFERROR(
HYPERLINK(
"https://drive.google.com/file/d/"&amp;
XLOOKUP(O320,'Hoa-Don'!A:A,'Hoa-Don'!D:D)
&amp;"/view",
"🔎"
),
""
)</f>
        <v/>
      </c>
    </row>
    <row r="321" ht="22.5" customHeight="1">
      <c r="A321" s="21">
        <v>320.0</v>
      </c>
      <c r="B321" s="22">
        <v>42689.0</v>
      </c>
      <c r="C321" s="23">
        <v>148.0</v>
      </c>
      <c r="D321" s="24" t="s">
        <v>37</v>
      </c>
      <c r="E321" s="35" t="s">
        <v>18</v>
      </c>
      <c r="F321" s="26"/>
      <c r="G321" s="36" t="s">
        <v>42</v>
      </c>
      <c r="H321" s="28">
        <v>822.0</v>
      </c>
      <c r="I321" s="28">
        <v>8118.806807413286</v>
      </c>
      <c r="J321" s="29">
        <v>6673659.195693721</v>
      </c>
      <c r="K321" s="29">
        <v>8118.806807413286</v>
      </c>
      <c r="L321" s="30">
        <v>73070.1</v>
      </c>
      <c r="M321" s="29">
        <v>5.932420252983696E8</v>
      </c>
      <c r="N321" s="31" t="s">
        <v>400</v>
      </c>
      <c r="O321" s="32"/>
      <c r="P321" s="33" t="str">
        <f t="array" ref="P321">IFERROR(
HYPERLINK(
"https://drive.google.com/file/d/"&amp;
XLOOKUP(O321,'Hoa-Don'!A:A,'Hoa-Don'!D:D)
&amp;"/view",
"🔎"
),
""
)</f>
        <v/>
      </c>
    </row>
    <row r="322" ht="22.5" customHeight="1">
      <c r="A322" s="21">
        <v>321.0</v>
      </c>
      <c r="B322" s="22">
        <v>42689.0</v>
      </c>
      <c r="C322" s="23">
        <v>148.0</v>
      </c>
      <c r="D322" s="24" t="s">
        <v>37</v>
      </c>
      <c r="E322" s="25" t="s">
        <v>11</v>
      </c>
      <c r="F322" s="26"/>
      <c r="G322" s="36" t="s">
        <v>42</v>
      </c>
      <c r="H322" s="28">
        <v>843.0</v>
      </c>
      <c r="I322" s="28">
        <v>9596.900012683967</v>
      </c>
      <c r="J322" s="29">
        <v>8090186.7106925845</v>
      </c>
      <c r="K322" s="29">
        <v>9596.900012683967</v>
      </c>
      <c r="L322" s="30">
        <v>111221.87</v>
      </c>
      <c r="M322" s="29">
        <v>1.0673851656137345E9</v>
      </c>
      <c r="N322" s="31" t="s">
        <v>401</v>
      </c>
      <c r="O322" s="32"/>
      <c r="P322" s="33" t="str">
        <f t="array" ref="P322">IFERROR(
HYPERLINK(
"https://drive.google.com/file/d/"&amp;
XLOOKUP(O322,'Hoa-Don'!A:A,'Hoa-Don'!D:D)
&amp;"/view",
"🔎"
),
""
)</f>
        <v/>
      </c>
    </row>
    <row r="323" ht="22.5" customHeight="1">
      <c r="A323" s="21">
        <v>322.0</v>
      </c>
      <c r="B323" s="22">
        <v>42693.0</v>
      </c>
      <c r="C323" s="23">
        <v>280.0</v>
      </c>
      <c r="D323" s="24" t="s">
        <v>402</v>
      </c>
      <c r="E323" s="35" t="s">
        <v>18</v>
      </c>
      <c r="F323" s="26"/>
      <c r="G323" s="27" t="s">
        <v>38</v>
      </c>
      <c r="H323" s="28">
        <v>2090.0</v>
      </c>
      <c r="I323" s="28">
        <v>8636.36</v>
      </c>
      <c r="J323" s="29">
        <v>1.8049992400000002E7</v>
      </c>
      <c r="K323" s="29">
        <v>8133.198568101554</v>
      </c>
      <c r="L323" s="30">
        <v>75160.1</v>
      </c>
      <c r="M323" s="29">
        <v>6.112920176983696E8</v>
      </c>
      <c r="N323" s="31" t="s">
        <v>403</v>
      </c>
      <c r="O323" s="32"/>
      <c r="P323" s="33" t="str">
        <f t="array" ref="P323">IFERROR(
HYPERLINK(
"https://drive.google.com/file/d/"&amp;
XLOOKUP(O323,'Hoa-Don'!A:A,'Hoa-Don'!D:D)
&amp;"/view",
"🔎"
),
""
)</f>
        <v/>
      </c>
    </row>
    <row r="324" ht="22.5" customHeight="1">
      <c r="A324" s="21">
        <v>323.0</v>
      </c>
      <c r="B324" s="22">
        <v>42695.0</v>
      </c>
      <c r="C324" s="23">
        <v>283.0</v>
      </c>
      <c r="D324" s="24" t="s">
        <v>402</v>
      </c>
      <c r="E324" s="35" t="s">
        <v>18</v>
      </c>
      <c r="F324" s="26"/>
      <c r="G324" s="27" t="s">
        <v>38</v>
      </c>
      <c r="H324" s="28">
        <v>2050.0</v>
      </c>
      <c r="I324" s="28">
        <v>8636.36</v>
      </c>
      <c r="J324" s="29">
        <v>1.7704538E7</v>
      </c>
      <c r="K324" s="29">
        <v>8146.557972316699</v>
      </c>
      <c r="L324" s="30">
        <v>77210.1</v>
      </c>
      <c r="M324" s="29">
        <v>6.289965556983696E8</v>
      </c>
      <c r="N324" s="31" t="s">
        <v>404</v>
      </c>
      <c r="O324" s="32"/>
      <c r="P324" s="33" t="str">
        <f t="array" ref="P324">IFERROR(
HYPERLINK(
"https://drive.google.com/file/d/"&amp;
XLOOKUP(O324,'Hoa-Don'!A:A,'Hoa-Don'!D:D)
&amp;"/view",
"🔎"
),
""
)</f>
        <v/>
      </c>
    </row>
    <row r="325" ht="22.5" customHeight="1">
      <c r="A325" s="21">
        <v>324.0</v>
      </c>
      <c r="B325" s="22">
        <v>42696.0</v>
      </c>
      <c r="C325" s="23">
        <v>284.0</v>
      </c>
      <c r="D325" s="24" t="s">
        <v>402</v>
      </c>
      <c r="E325" s="35" t="s">
        <v>18</v>
      </c>
      <c r="F325" s="26"/>
      <c r="G325" s="27" t="s">
        <v>38</v>
      </c>
      <c r="H325" s="28">
        <v>850.0</v>
      </c>
      <c r="I325" s="28">
        <v>8636.36</v>
      </c>
      <c r="J325" s="29">
        <v>7340906.000000001</v>
      </c>
      <c r="K325" s="29">
        <v>8151.891449003647</v>
      </c>
      <c r="L325" s="30">
        <v>78060.1</v>
      </c>
      <c r="M325" s="29">
        <v>6.363374616983696E8</v>
      </c>
      <c r="N325" s="31" t="s">
        <v>405</v>
      </c>
      <c r="O325" s="32"/>
      <c r="P325" s="33" t="str">
        <f t="array" ref="P325">IFERROR(
HYPERLINK(
"https://drive.google.com/file/d/"&amp;
XLOOKUP(O325,'Hoa-Don'!A:A,'Hoa-Don'!D:D)
&amp;"/view",
"🔎"
),
""
)</f>
        <v/>
      </c>
    </row>
    <row r="326" ht="22.5" customHeight="1">
      <c r="A326" s="21">
        <v>325.0</v>
      </c>
      <c r="B326" s="22">
        <v>42697.0</v>
      </c>
      <c r="C326" s="23">
        <v>285.0</v>
      </c>
      <c r="D326" s="24" t="s">
        <v>402</v>
      </c>
      <c r="E326" s="35" t="s">
        <v>18</v>
      </c>
      <c r="F326" s="26"/>
      <c r="G326" s="27" t="s">
        <v>38</v>
      </c>
      <c r="H326" s="28">
        <v>1106.0</v>
      </c>
      <c r="I326" s="28">
        <v>8545.45</v>
      </c>
      <c r="J326" s="29">
        <v>9451267.700000001</v>
      </c>
      <c r="K326" s="29">
        <v>8157.389708453108</v>
      </c>
      <c r="L326" s="30">
        <v>79166.1</v>
      </c>
      <c r="M326" s="29">
        <v>6.457887293983697E8</v>
      </c>
      <c r="N326" s="31" t="s">
        <v>406</v>
      </c>
      <c r="O326" s="32"/>
      <c r="P326" s="33" t="str">
        <f t="array" ref="P326">IFERROR(
HYPERLINK(
"https://drive.google.com/file/d/"&amp;
XLOOKUP(O326,'Hoa-Don'!A:A,'Hoa-Don'!D:D)
&amp;"/view",
"🔎"
),
""
)</f>
        <v/>
      </c>
    </row>
    <row r="327" ht="22.5" customHeight="1">
      <c r="A327" s="21">
        <v>326.0</v>
      </c>
      <c r="B327" s="22">
        <v>42697.0</v>
      </c>
      <c r="C327" s="23">
        <v>149.0</v>
      </c>
      <c r="D327" s="24" t="s">
        <v>37</v>
      </c>
      <c r="E327" s="25" t="s">
        <v>11</v>
      </c>
      <c r="F327" s="26"/>
      <c r="G327" s="36" t="s">
        <v>42</v>
      </c>
      <c r="H327" s="28">
        <v>1565.0</v>
      </c>
      <c r="I327" s="28">
        <v>9596.900012683967</v>
      </c>
      <c r="J327" s="29">
        <v>1.5019148519850409E7</v>
      </c>
      <c r="K327" s="29">
        <v>9596.900012683967</v>
      </c>
      <c r="L327" s="30">
        <v>109656.87</v>
      </c>
      <c r="M327" s="29">
        <v>1.0523660170938841E9</v>
      </c>
      <c r="N327" s="31" t="s">
        <v>407</v>
      </c>
      <c r="O327" s="32"/>
      <c r="P327" s="33" t="str">
        <f t="array" ref="P327">IFERROR(
HYPERLINK(
"https://drive.google.com/file/d/"&amp;
XLOOKUP(O327,'Hoa-Don'!A:A,'Hoa-Don'!D:D)
&amp;"/view",
"🔎"
),
""
)</f>
        <v/>
      </c>
    </row>
    <row r="328" ht="22.5" customHeight="1">
      <c r="A328" s="21">
        <v>327.0</v>
      </c>
      <c r="B328" s="22">
        <v>42698.0</v>
      </c>
      <c r="C328" s="23">
        <v>193.0</v>
      </c>
      <c r="D328" s="24" t="s">
        <v>253</v>
      </c>
      <c r="E328" s="25" t="s">
        <v>11</v>
      </c>
      <c r="F328" s="26"/>
      <c r="G328" s="27" t="s">
        <v>38</v>
      </c>
      <c r="H328" s="28">
        <v>1260.0</v>
      </c>
      <c r="I328" s="28">
        <v>9636.36</v>
      </c>
      <c r="J328" s="29">
        <v>1.2141813600000001E7</v>
      </c>
      <c r="K328" s="29">
        <v>9597.348272574625</v>
      </c>
      <c r="L328" s="30">
        <v>110916.87</v>
      </c>
      <c r="M328" s="29">
        <v>1.0645078306938841E9</v>
      </c>
      <c r="N328" s="31" t="s">
        <v>408</v>
      </c>
      <c r="O328" s="32"/>
      <c r="P328" s="33" t="str">
        <f t="array" ref="P328">IFERROR(
HYPERLINK(
"https://drive.google.com/file/d/"&amp;
XLOOKUP(O328,'Hoa-Don'!A:A,'Hoa-Don'!D:D)
&amp;"/view",
"🔎"
),
""
)</f>
        <v/>
      </c>
    </row>
    <row r="329" ht="22.5" customHeight="1">
      <c r="A329" s="21">
        <v>328.0</v>
      </c>
      <c r="B329" s="22">
        <v>42698.0</v>
      </c>
      <c r="C329" s="23">
        <v>193.0</v>
      </c>
      <c r="D329" s="24" t="s">
        <v>253</v>
      </c>
      <c r="E329" s="25" t="s">
        <v>11</v>
      </c>
      <c r="F329" s="26"/>
      <c r="G329" s="27" t="s">
        <v>38</v>
      </c>
      <c r="H329" s="28">
        <v>2150.0</v>
      </c>
      <c r="I329" s="28">
        <v>9636.36</v>
      </c>
      <c r="J329" s="29">
        <v>2.0718174E7</v>
      </c>
      <c r="K329" s="29">
        <v>9598.090092118799</v>
      </c>
      <c r="L329" s="30">
        <v>113066.87</v>
      </c>
      <c r="M329" s="29">
        <v>1.0852260046938841E9</v>
      </c>
      <c r="N329" s="31" t="s">
        <v>409</v>
      </c>
      <c r="O329" s="32"/>
      <c r="P329" s="33" t="str">
        <f t="array" ref="P329">IFERROR(
HYPERLINK(
"https://drive.google.com/file/d/"&amp;
XLOOKUP(O329,'Hoa-Don'!A:A,'Hoa-Don'!D:D)
&amp;"/view",
"🔎"
),
""
)</f>
        <v/>
      </c>
    </row>
    <row r="330" ht="22.5" customHeight="1">
      <c r="A330" s="21">
        <v>329.0</v>
      </c>
      <c r="B330" s="22">
        <v>42698.0</v>
      </c>
      <c r="C330" s="23">
        <v>193.0</v>
      </c>
      <c r="D330" s="24" t="s">
        <v>253</v>
      </c>
      <c r="E330" s="25" t="s">
        <v>11</v>
      </c>
      <c r="F330" s="26"/>
      <c r="G330" s="27" t="s">
        <v>38</v>
      </c>
      <c r="H330" s="28">
        <v>658.0</v>
      </c>
      <c r="I330" s="28">
        <v>9818.18</v>
      </c>
      <c r="J330" s="29">
        <v>6460362.44</v>
      </c>
      <c r="K330" s="29">
        <v>9599.363508913084</v>
      </c>
      <c r="L330" s="30">
        <v>113724.87</v>
      </c>
      <c r="M330" s="29">
        <v>1.0916863671338842E9</v>
      </c>
      <c r="N330" s="31" t="s">
        <v>410</v>
      </c>
      <c r="O330" s="32"/>
      <c r="P330" s="33" t="str">
        <f t="array" ref="P330">IFERROR(
HYPERLINK(
"https://drive.google.com/file/d/"&amp;
XLOOKUP(O330,'Hoa-Don'!A:A,'Hoa-Don'!D:D)
&amp;"/view",
"🔎"
),
""
)</f>
        <v/>
      </c>
    </row>
    <row r="331" ht="22.5" customHeight="1">
      <c r="A331" s="21">
        <v>330.0</v>
      </c>
      <c r="B331" s="22">
        <v>42698.0</v>
      </c>
      <c r="C331" s="23">
        <v>150.0</v>
      </c>
      <c r="D331" s="24" t="s">
        <v>37</v>
      </c>
      <c r="E331" s="25" t="s">
        <v>11</v>
      </c>
      <c r="F331" s="26"/>
      <c r="G331" s="36" t="s">
        <v>42</v>
      </c>
      <c r="H331" s="28">
        <v>1000.0</v>
      </c>
      <c r="I331" s="28">
        <v>9599.363508913084</v>
      </c>
      <c r="J331" s="29">
        <v>9599363.508913085</v>
      </c>
      <c r="K331" s="29">
        <v>9599.363508913084</v>
      </c>
      <c r="L331" s="30">
        <v>112724.87</v>
      </c>
      <c r="M331" s="29">
        <v>1.0820870036249712E9</v>
      </c>
      <c r="N331" s="31" t="s">
        <v>411</v>
      </c>
      <c r="O331" s="32"/>
      <c r="P331" s="33" t="str">
        <f t="array" ref="P331">IFERROR(
HYPERLINK(
"https://drive.google.com/file/d/"&amp;
XLOOKUP(O331,'Hoa-Don'!A:A,'Hoa-Don'!D:D)
&amp;"/view",
"🔎"
),
""
)</f>
        <v/>
      </c>
    </row>
    <row r="332" ht="22.5" customHeight="1">
      <c r="A332" s="21">
        <v>331.0</v>
      </c>
      <c r="B332" s="22">
        <v>42699.0</v>
      </c>
      <c r="C332" s="23">
        <v>4271.0</v>
      </c>
      <c r="D332" s="24" t="s">
        <v>412</v>
      </c>
      <c r="E332" s="35" t="s">
        <v>18</v>
      </c>
      <c r="F332" s="26"/>
      <c r="G332" s="27" t="s">
        <v>38</v>
      </c>
      <c r="H332" s="28">
        <v>5505.0</v>
      </c>
      <c r="I332" s="28">
        <v>9363.64</v>
      </c>
      <c r="J332" s="29">
        <v>5.1546838199999996E7</v>
      </c>
      <c r="K332" s="29">
        <v>8235.815615934713</v>
      </c>
      <c r="L332" s="30">
        <v>84671.1</v>
      </c>
      <c r="M332" s="29">
        <v>6.973355675983697E8</v>
      </c>
      <c r="N332" s="31" t="s">
        <v>413</v>
      </c>
      <c r="O332" s="32"/>
      <c r="P332" s="33" t="str">
        <f t="array" ref="P332">IFERROR(
HYPERLINK(
"https://drive.google.com/file/d/"&amp;
XLOOKUP(O332,'Hoa-Don'!A:A,'Hoa-Don'!D:D)
&amp;"/view",
"🔎"
),
""
)</f>
        <v/>
      </c>
    </row>
    <row r="333" ht="22.5" customHeight="1">
      <c r="A333" s="21">
        <v>332.0</v>
      </c>
      <c r="B333" s="22">
        <v>42701.0</v>
      </c>
      <c r="C333" s="23">
        <v>151.0</v>
      </c>
      <c r="D333" s="24" t="s">
        <v>37</v>
      </c>
      <c r="E333" s="25" t="s">
        <v>11</v>
      </c>
      <c r="F333" s="26"/>
      <c r="G333" s="36" t="s">
        <v>42</v>
      </c>
      <c r="H333" s="28">
        <v>796.0</v>
      </c>
      <c r="I333" s="28">
        <v>9599.363508913084</v>
      </c>
      <c r="J333" s="29">
        <v>7641093.353094814</v>
      </c>
      <c r="K333" s="29">
        <v>9599.363508913084</v>
      </c>
      <c r="L333" s="30">
        <v>111928.87</v>
      </c>
      <c r="M333" s="29">
        <v>1.0744459102718763E9</v>
      </c>
      <c r="N333" s="31" t="s">
        <v>414</v>
      </c>
      <c r="O333" s="32"/>
      <c r="P333" s="33" t="str">
        <f t="array" ref="P333">IFERROR(
HYPERLINK(
"https://drive.google.com/file/d/"&amp;
XLOOKUP(O333,'Hoa-Don'!A:A,'Hoa-Don'!D:D)
&amp;"/view",
"🔎"
),
""
)</f>
        <v/>
      </c>
    </row>
    <row r="334" ht="22.5" customHeight="1">
      <c r="A334" s="21">
        <v>333.0</v>
      </c>
      <c r="B334" s="22">
        <v>42702.0</v>
      </c>
      <c r="C334" s="23">
        <v>152.0</v>
      </c>
      <c r="D334" s="24" t="s">
        <v>63</v>
      </c>
      <c r="E334" s="37" t="s">
        <v>16</v>
      </c>
      <c r="F334" s="26"/>
      <c r="G334" s="36" t="s">
        <v>42</v>
      </c>
      <c r="H334" s="28">
        <v>240.0</v>
      </c>
      <c r="I334" s="28">
        <v>11276.651961429316</v>
      </c>
      <c r="J334" s="29">
        <v>2706396.470743036</v>
      </c>
      <c r="K334" s="29">
        <v>11276.651961429316</v>
      </c>
      <c r="L334" s="30">
        <v>10465.0</v>
      </c>
      <c r="M334" s="29">
        <v>1.1801016277635778E8</v>
      </c>
      <c r="N334" s="31" t="s">
        <v>415</v>
      </c>
      <c r="O334" s="32"/>
      <c r="P334" s="33" t="str">
        <f t="array" ref="P334">IFERROR(
HYPERLINK(
"https://drive.google.com/file/d/"&amp;
XLOOKUP(O334,'Hoa-Don'!A:A,'Hoa-Don'!D:D)
&amp;"/view",
"🔎"
),
""
)</f>
        <v/>
      </c>
    </row>
    <row r="335" ht="22.5" customHeight="1">
      <c r="A335" s="21">
        <v>334.0</v>
      </c>
      <c r="B335" s="22">
        <v>42702.0</v>
      </c>
      <c r="C335" s="23">
        <v>153.0</v>
      </c>
      <c r="D335" s="24" t="s">
        <v>93</v>
      </c>
      <c r="E335" s="25" t="s">
        <v>11</v>
      </c>
      <c r="F335" s="26"/>
      <c r="G335" s="36" t="s">
        <v>42</v>
      </c>
      <c r="H335" s="28">
        <v>1520.0</v>
      </c>
      <c r="I335" s="28">
        <v>9599.363508913084</v>
      </c>
      <c r="J335" s="29">
        <v>1.4591032533547888E7</v>
      </c>
      <c r="K335" s="29">
        <v>9599.363508913084</v>
      </c>
      <c r="L335" s="30">
        <v>110408.87</v>
      </c>
      <c r="M335" s="29">
        <v>1.0598548777383285E9</v>
      </c>
      <c r="N335" s="31" t="s">
        <v>416</v>
      </c>
      <c r="O335" s="32"/>
      <c r="P335" s="33" t="str">
        <f t="array" ref="P335">IFERROR(
HYPERLINK(
"https://drive.google.com/file/d/"&amp;
XLOOKUP(O335,'Hoa-Don'!A:A,'Hoa-Don'!D:D)
&amp;"/view",
"🔎"
),
""
)</f>
        <v/>
      </c>
    </row>
    <row r="336" ht="22.5" customHeight="1">
      <c r="A336" s="21">
        <v>335.0</v>
      </c>
      <c r="B336" s="22">
        <v>42702.0</v>
      </c>
      <c r="C336" s="23">
        <v>153.0</v>
      </c>
      <c r="D336" s="24" t="s">
        <v>93</v>
      </c>
      <c r="E336" s="25" t="s">
        <v>11</v>
      </c>
      <c r="F336" s="26"/>
      <c r="G336" s="36" t="s">
        <v>42</v>
      </c>
      <c r="H336" s="28">
        <v>416.0</v>
      </c>
      <c r="I336" s="28">
        <v>9599.363508913084</v>
      </c>
      <c r="J336" s="29">
        <v>3993335.219707843</v>
      </c>
      <c r="K336" s="29">
        <v>9599.363508913084</v>
      </c>
      <c r="L336" s="30">
        <v>109992.87</v>
      </c>
      <c r="M336" s="29">
        <v>1.0558615425186206E9</v>
      </c>
      <c r="N336" s="31" t="s">
        <v>417</v>
      </c>
      <c r="O336" s="32"/>
      <c r="P336" s="33" t="str">
        <f t="array" ref="P336">IFERROR(
HYPERLINK(
"https://drive.google.com/file/d/"&amp;
XLOOKUP(O336,'Hoa-Don'!A:A,'Hoa-Don'!D:D)
&amp;"/view",
"🔎"
),
""
)</f>
        <v/>
      </c>
    </row>
    <row r="337" ht="22.5" customHeight="1">
      <c r="A337" s="21">
        <v>336.0</v>
      </c>
      <c r="B337" s="22">
        <v>42702.0</v>
      </c>
      <c r="C337" s="23">
        <v>153.0</v>
      </c>
      <c r="D337" s="24" t="s">
        <v>93</v>
      </c>
      <c r="E337" s="25" t="s">
        <v>11</v>
      </c>
      <c r="F337" s="26"/>
      <c r="G337" s="36" t="s">
        <v>42</v>
      </c>
      <c r="H337" s="28">
        <v>1515.0</v>
      </c>
      <c r="I337" s="28">
        <v>9599.363508913084</v>
      </c>
      <c r="J337" s="29">
        <v>1.4543035716003323E7</v>
      </c>
      <c r="K337" s="29">
        <v>9599.363508913084</v>
      </c>
      <c r="L337" s="30">
        <v>108477.87</v>
      </c>
      <c r="M337" s="29">
        <v>1.0413185068026173E9</v>
      </c>
      <c r="N337" s="31" t="s">
        <v>418</v>
      </c>
      <c r="O337" s="32"/>
      <c r="P337" s="33" t="str">
        <f t="array" ref="P337">IFERROR(
HYPERLINK(
"https://drive.google.com/file/d/"&amp;
XLOOKUP(O337,'Hoa-Don'!A:A,'Hoa-Don'!D:D)
&amp;"/view",
"🔎"
),
""
)</f>
        <v/>
      </c>
    </row>
    <row r="338" ht="22.5" customHeight="1">
      <c r="A338" s="21">
        <v>337.0</v>
      </c>
      <c r="B338" s="22">
        <v>42706.0</v>
      </c>
      <c r="C338" s="23">
        <v>154.0</v>
      </c>
      <c r="D338" s="24" t="s">
        <v>340</v>
      </c>
      <c r="E338" s="37" t="s">
        <v>16</v>
      </c>
      <c r="F338" s="26"/>
      <c r="G338" s="36" t="s">
        <v>42</v>
      </c>
      <c r="H338" s="28">
        <v>1000.0</v>
      </c>
      <c r="I338" s="28">
        <v>11276.651961429316</v>
      </c>
      <c r="J338" s="29">
        <v>1.1276651961429317E7</v>
      </c>
      <c r="K338" s="29">
        <v>11276.651961429316</v>
      </c>
      <c r="L338" s="30">
        <v>9465.0</v>
      </c>
      <c r="M338" s="29">
        <v>1.0673351081492847E8</v>
      </c>
      <c r="N338" s="31" t="s">
        <v>419</v>
      </c>
      <c r="O338" s="32"/>
      <c r="P338" s="33" t="str">
        <f t="array" ref="P338">IFERROR(
HYPERLINK(
"https://drive.google.com/file/d/"&amp;
XLOOKUP(O338,'Hoa-Don'!A:A,'Hoa-Don'!D:D)
&amp;"/view",
"🔎"
),
""
)</f>
        <v/>
      </c>
    </row>
    <row r="339" ht="22.5" customHeight="1">
      <c r="A339" s="21">
        <v>338.0</v>
      </c>
      <c r="B339" s="22">
        <v>42707.0</v>
      </c>
      <c r="C339" s="23">
        <v>155.0</v>
      </c>
      <c r="D339" s="24" t="s">
        <v>340</v>
      </c>
      <c r="E339" s="35" t="s">
        <v>18</v>
      </c>
      <c r="F339" s="26"/>
      <c r="G339" s="36" t="s">
        <v>42</v>
      </c>
      <c r="H339" s="28">
        <v>905.0</v>
      </c>
      <c r="I339" s="28">
        <v>8235.815615934713</v>
      </c>
      <c r="J339" s="29">
        <v>7453413.132420915</v>
      </c>
      <c r="K339" s="29">
        <v>8235.815615934713</v>
      </c>
      <c r="L339" s="30">
        <v>83766.1</v>
      </c>
      <c r="M339" s="29">
        <v>6.898821544659488E8</v>
      </c>
      <c r="N339" s="31" t="s">
        <v>420</v>
      </c>
      <c r="O339" s="32"/>
      <c r="P339" s="33" t="str">
        <f t="array" ref="P339">IFERROR(
HYPERLINK(
"https://drive.google.com/file/d/"&amp;
XLOOKUP(O339,'Hoa-Don'!A:A,'Hoa-Don'!D:D)
&amp;"/view",
"🔎"
),
""
)</f>
        <v/>
      </c>
    </row>
    <row r="340" ht="22.5" customHeight="1">
      <c r="A340" s="21">
        <v>339.0</v>
      </c>
      <c r="B340" s="22">
        <v>42707.0</v>
      </c>
      <c r="C340" s="23">
        <v>156.0</v>
      </c>
      <c r="D340" s="24" t="s">
        <v>63</v>
      </c>
      <c r="E340" s="35" t="s">
        <v>18</v>
      </c>
      <c r="F340" s="26"/>
      <c r="G340" s="36" t="s">
        <v>42</v>
      </c>
      <c r="H340" s="28">
        <v>830.0</v>
      </c>
      <c r="I340" s="28">
        <v>8235.815615934713</v>
      </c>
      <c r="J340" s="29">
        <v>6835726.961225811</v>
      </c>
      <c r="K340" s="29">
        <v>8235.815615934713</v>
      </c>
      <c r="L340" s="30">
        <v>82936.1</v>
      </c>
      <c r="M340" s="29">
        <v>6.83046427504723E8</v>
      </c>
      <c r="N340" s="31" t="s">
        <v>421</v>
      </c>
      <c r="O340" s="32"/>
      <c r="P340" s="33" t="str">
        <f t="array" ref="P340">IFERROR(
HYPERLINK(
"https://drive.google.com/file/d/"&amp;
XLOOKUP(O340,'Hoa-Don'!A:A,'Hoa-Don'!D:D)
&amp;"/view",
"🔎"
),
""
)</f>
        <v/>
      </c>
    </row>
    <row r="341" ht="22.5" customHeight="1">
      <c r="A341" s="21">
        <v>340.0</v>
      </c>
      <c r="B341" s="22">
        <v>42708.0</v>
      </c>
      <c r="C341" s="23">
        <v>158.0</v>
      </c>
      <c r="D341" s="24" t="s">
        <v>63</v>
      </c>
      <c r="E341" s="35" t="s">
        <v>18</v>
      </c>
      <c r="F341" s="26"/>
      <c r="G341" s="36" t="s">
        <v>42</v>
      </c>
      <c r="H341" s="28">
        <v>166.0</v>
      </c>
      <c r="I341" s="28">
        <v>8235.815615934713</v>
      </c>
      <c r="J341" s="29">
        <v>1367145.3922451623</v>
      </c>
      <c r="K341" s="29">
        <v>8235.815615934713</v>
      </c>
      <c r="L341" s="30">
        <v>82770.1</v>
      </c>
      <c r="M341" s="29">
        <v>6.816792821124778E8</v>
      </c>
      <c r="N341" s="31" t="s">
        <v>422</v>
      </c>
      <c r="O341" s="32"/>
      <c r="P341" s="33" t="str">
        <f t="array" ref="P341">IFERROR(
HYPERLINK(
"https://drive.google.com/file/d/"&amp;
XLOOKUP(O341,'Hoa-Don'!A:A,'Hoa-Don'!D:D)
&amp;"/view",
"🔎"
),
""
)</f>
        <v/>
      </c>
    </row>
    <row r="342" ht="22.5" customHeight="1">
      <c r="A342" s="21">
        <v>341.0</v>
      </c>
      <c r="B342" s="22">
        <v>42708.0</v>
      </c>
      <c r="C342" s="23">
        <v>158.0</v>
      </c>
      <c r="D342" s="24" t="s">
        <v>63</v>
      </c>
      <c r="E342" s="35" t="s">
        <v>18</v>
      </c>
      <c r="F342" s="26"/>
      <c r="G342" s="36" t="s">
        <v>42</v>
      </c>
      <c r="H342" s="28">
        <v>391.0</v>
      </c>
      <c r="I342" s="28">
        <v>8235.815615934713</v>
      </c>
      <c r="J342" s="29">
        <v>3220203.9058304727</v>
      </c>
      <c r="K342" s="29">
        <v>8235.815615934713</v>
      </c>
      <c r="L342" s="30">
        <v>82379.1</v>
      </c>
      <c r="M342" s="29">
        <v>6.784590782066474E8</v>
      </c>
      <c r="N342" s="31" t="s">
        <v>423</v>
      </c>
      <c r="O342" s="32"/>
      <c r="P342" s="33" t="str">
        <f t="array" ref="P342">IFERROR(
HYPERLINK(
"https://drive.google.com/file/d/"&amp;
XLOOKUP(O342,'Hoa-Don'!A:A,'Hoa-Don'!D:D)
&amp;"/view",
"🔎"
),
""
)</f>
        <v/>
      </c>
    </row>
    <row r="343" ht="22.5" customHeight="1">
      <c r="A343" s="21">
        <v>342.0</v>
      </c>
      <c r="B343" s="22">
        <v>42708.0</v>
      </c>
      <c r="C343" s="23">
        <v>159.0</v>
      </c>
      <c r="D343" s="24" t="s">
        <v>37</v>
      </c>
      <c r="E343" s="25" t="s">
        <v>11</v>
      </c>
      <c r="F343" s="26"/>
      <c r="G343" s="36" t="s">
        <v>42</v>
      </c>
      <c r="H343" s="28">
        <v>1391.0</v>
      </c>
      <c r="I343" s="28">
        <v>9599.363508913084</v>
      </c>
      <c r="J343" s="29">
        <v>1.33527146408981E7</v>
      </c>
      <c r="K343" s="29">
        <v>9599.363508913084</v>
      </c>
      <c r="L343" s="30">
        <v>107086.87</v>
      </c>
      <c r="M343" s="29">
        <v>1.0279657921617192E9</v>
      </c>
      <c r="N343" s="31" t="s">
        <v>424</v>
      </c>
      <c r="O343" s="32"/>
      <c r="P343" s="33" t="str">
        <f t="array" ref="P343">IFERROR(
HYPERLINK(
"https://drive.google.com/file/d/"&amp;
XLOOKUP(O343,'Hoa-Don'!A:A,'Hoa-Don'!D:D)
&amp;"/view",
"🔎"
),
""
)</f>
        <v/>
      </c>
    </row>
    <row r="344" ht="22.5" customHeight="1">
      <c r="A344" s="21">
        <v>343.0</v>
      </c>
      <c r="B344" s="22">
        <v>42709.0</v>
      </c>
      <c r="C344" s="23">
        <v>160.0</v>
      </c>
      <c r="D344" s="24" t="s">
        <v>93</v>
      </c>
      <c r="E344" s="25" t="s">
        <v>11</v>
      </c>
      <c r="F344" s="26"/>
      <c r="G344" s="36" t="s">
        <v>42</v>
      </c>
      <c r="H344" s="28">
        <v>1000.0</v>
      </c>
      <c r="I344" s="28">
        <v>9599.363508913084</v>
      </c>
      <c r="J344" s="29">
        <v>9599363.508913085</v>
      </c>
      <c r="K344" s="29">
        <v>9599.363508913084</v>
      </c>
      <c r="L344" s="30">
        <v>106086.87</v>
      </c>
      <c r="M344" s="29">
        <v>1.0183664286528062E9</v>
      </c>
      <c r="N344" s="31" t="s">
        <v>425</v>
      </c>
      <c r="O344" s="32"/>
      <c r="P344" s="33" t="str">
        <f t="array" ref="P344">IFERROR(
HYPERLINK(
"https://drive.google.com/file/d/"&amp;
XLOOKUP(O344,'Hoa-Don'!A:A,'Hoa-Don'!D:D)
&amp;"/view",
"🔎"
),
""
)</f>
        <v/>
      </c>
    </row>
    <row r="345" ht="22.5" customHeight="1">
      <c r="A345" s="21">
        <v>344.0</v>
      </c>
      <c r="B345" s="22">
        <v>42709.0</v>
      </c>
      <c r="C345" s="23">
        <v>160.0</v>
      </c>
      <c r="D345" s="24" t="s">
        <v>93</v>
      </c>
      <c r="E345" s="25" t="s">
        <v>11</v>
      </c>
      <c r="F345" s="26"/>
      <c r="G345" s="36" t="s">
        <v>42</v>
      </c>
      <c r="H345" s="28">
        <v>779.0</v>
      </c>
      <c r="I345" s="28">
        <v>9599.363508913084</v>
      </c>
      <c r="J345" s="29">
        <v>7477904.173443292</v>
      </c>
      <c r="K345" s="29">
        <v>9599.363508913084</v>
      </c>
      <c r="L345" s="30">
        <v>105307.87</v>
      </c>
      <c r="M345" s="29">
        <v>1.0108885244793628E9</v>
      </c>
      <c r="N345" s="31" t="s">
        <v>426</v>
      </c>
      <c r="O345" s="32"/>
      <c r="P345" s="33" t="str">
        <f t="array" ref="P345">IFERROR(
HYPERLINK(
"https://drive.google.com/file/d/"&amp;
XLOOKUP(O345,'Hoa-Don'!A:A,'Hoa-Don'!D:D)
&amp;"/view",
"🔎"
),
""
)</f>
        <v/>
      </c>
    </row>
    <row r="346" ht="22.5" customHeight="1">
      <c r="A346" s="21">
        <v>345.0</v>
      </c>
      <c r="B346" s="22">
        <v>42709.0</v>
      </c>
      <c r="C346" s="23">
        <v>160.0</v>
      </c>
      <c r="D346" s="24" t="s">
        <v>93</v>
      </c>
      <c r="E346" s="25" t="s">
        <v>11</v>
      </c>
      <c r="F346" s="26"/>
      <c r="G346" s="36" t="s">
        <v>42</v>
      </c>
      <c r="H346" s="28">
        <v>9555.0</v>
      </c>
      <c r="I346" s="28">
        <v>9599.363508913084</v>
      </c>
      <c r="J346" s="29">
        <v>9.172191832766452E7</v>
      </c>
      <c r="K346" s="29">
        <v>9599.363508913084</v>
      </c>
      <c r="L346" s="30">
        <v>95752.87</v>
      </c>
      <c r="M346" s="29">
        <v>9.191666061516984E8</v>
      </c>
      <c r="N346" s="31" t="s">
        <v>427</v>
      </c>
      <c r="O346" s="32"/>
      <c r="P346" s="33" t="str">
        <f t="array" ref="P346">IFERROR(
HYPERLINK(
"https://drive.google.com/file/d/"&amp;
XLOOKUP(O346,'Hoa-Don'!A:A,'Hoa-Don'!D:D)
&amp;"/view",
"🔎"
),
""
)</f>
        <v/>
      </c>
    </row>
    <row r="347" ht="22.5" customHeight="1">
      <c r="A347" s="21">
        <v>346.0</v>
      </c>
      <c r="B347" s="22">
        <v>42711.0</v>
      </c>
      <c r="C347" s="23">
        <v>7302.0</v>
      </c>
      <c r="D347" s="24" t="s">
        <v>246</v>
      </c>
      <c r="E347" s="25" t="s">
        <v>11</v>
      </c>
      <c r="F347" s="26"/>
      <c r="G347" s="27" t="s">
        <v>38</v>
      </c>
      <c r="H347" s="28">
        <v>745.0</v>
      </c>
      <c r="I347" s="28">
        <v>12454.5</v>
      </c>
      <c r="J347" s="29">
        <v>9278602.5</v>
      </c>
      <c r="K347" s="29">
        <v>9621.406240901466</v>
      </c>
      <c r="L347" s="30">
        <v>96497.87</v>
      </c>
      <c r="M347" s="29">
        <v>9.284452086516984E8</v>
      </c>
      <c r="N347" s="31" t="s">
        <v>428</v>
      </c>
      <c r="O347" s="32"/>
      <c r="P347" s="33" t="str">
        <f t="array" ref="P347">IFERROR(
HYPERLINK(
"https://drive.google.com/file/d/"&amp;
XLOOKUP(O347,'Hoa-Don'!A:A,'Hoa-Don'!D:D)
&amp;"/view",
"🔎"
),
""
)</f>
        <v/>
      </c>
    </row>
    <row r="348" ht="22.5" customHeight="1">
      <c r="A348" s="21">
        <v>347.0</v>
      </c>
      <c r="B348" s="22">
        <v>42715.0</v>
      </c>
      <c r="C348" s="23">
        <v>162.0</v>
      </c>
      <c r="D348" s="24" t="s">
        <v>63</v>
      </c>
      <c r="E348" s="35" t="s">
        <v>18</v>
      </c>
      <c r="F348" s="26"/>
      <c r="G348" s="36" t="s">
        <v>42</v>
      </c>
      <c r="H348" s="28">
        <v>488.5</v>
      </c>
      <c r="I348" s="28">
        <v>8235.815615934713</v>
      </c>
      <c r="J348" s="29">
        <v>4023195.928384107</v>
      </c>
      <c r="K348" s="29">
        <v>8235.815615934713</v>
      </c>
      <c r="L348" s="30">
        <v>81890.6</v>
      </c>
      <c r="M348" s="29">
        <v>6.744358822782632E8</v>
      </c>
      <c r="N348" s="31" t="s">
        <v>429</v>
      </c>
      <c r="O348" s="32"/>
      <c r="P348" s="33" t="str">
        <f t="array" ref="P348">IFERROR(
HYPERLINK(
"https://drive.google.com/file/d/"&amp;
XLOOKUP(O348,'Hoa-Don'!A:A,'Hoa-Don'!D:D)
&amp;"/view",
"🔎"
),
""
)</f>
        <v/>
      </c>
    </row>
    <row r="349" ht="22.5" customHeight="1">
      <c r="A349" s="21">
        <v>348.0</v>
      </c>
      <c r="B349" s="22">
        <v>42715.0</v>
      </c>
      <c r="C349" s="23">
        <v>163.0</v>
      </c>
      <c r="D349" s="24" t="s">
        <v>430</v>
      </c>
      <c r="E349" s="35" t="s">
        <v>18</v>
      </c>
      <c r="F349" s="26"/>
      <c r="G349" s="36" t="s">
        <v>42</v>
      </c>
      <c r="H349" s="28">
        <v>30000.0</v>
      </c>
      <c r="I349" s="28">
        <v>8235.815615934713</v>
      </c>
      <c r="J349" s="29">
        <v>2.4707446847804138E8</v>
      </c>
      <c r="K349" s="29">
        <v>8235.815615934713</v>
      </c>
      <c r="L349" s="30">
        <v>51890.600000000006</v>
      </c>
      <c r="M349" s="29">
        <v>4.2736141380022186E8</v>
      </c>
      <c r="N349" s="31" t="s">
        <v>431</v>
      </c>
      <c r="O349" s="32"/>
      <c r="P349" s="33" t="str">
        <f t="array" ref="P349">IFERROR(
HYPERLINK(
"https://drive.google.com/file/d/"&amp;
XLOOKUP(O349,'Hoa-Don'!A:A,'Hoa-Don'!D:D)
&amp;"/view",
"🔎"
),
""
)</f>
        <v/>
      </c>
    </row>
    <row r="350" ht="22.5" customHeight="1">
      <c r="A350" s="21">
        <v>349.0</v>
      </c>
      <c r="B350" s="22">
        <v>42719.0</v>
      </c>
      <c r="C350" s="23">
        <v>164.0</v>
      </c>
      <c r="D350" s="24" t="s">
        <v>37</v>
      </c>
      <c r="E350" s="25" t="s">
        <v>11</v>
      </c>
      <c r="F350" s="26"/>
      <c r="G350" s="36" t="s">
        <v>42</v>
      </c>
      <c r="H350" s="28">
        <v>60000.0</v>
      </c>
      <c r="I350" s="28">
        <v>9621.406240901466</v>
      </c>
      <c r="J350" s="29">
        <v>5.77284374454088E8</v>
      </c>
      <c r="K350" s="29">
        <v>9621.406240901466</v>
      </c>
      <c r="L350" s="30">
        <v>36497.869999999995</v>
      </c>
      <c r="M350" s="29">
        <v>3.511608341976103E8</v>
      </c>
      <c r="N350" s="31" t="s">
        <v>432</v>
      </c>
      <c r="O350" s="32"/>
      <c r="P350" s="33" t="str">
        <f t="array" ref="P350">IFERROR(
HYPERLINK(
"https://drive.google.com/file/d/"&amp;
XLOOKUP(O350,'Hoa-Don'!A:A,'Hoa-Don'!D:D)
&amp;"/view",
"🔎"
),
""
)</f>
        <v/>
      </c>
    </row>
    <row r="351" ht="22.5" customHeight="1">
      <c r="A351" s="21">
        <v>350.0</v>
      </c>
      <c r="B351" s="22">
        <v>42725.0</v>
      </c>
      <c r="C351" s="23">
        <v>354.0</v>
      </c>
      <c r="D351" s="24" t="s">
        <v>253</v>
      </c>
      <c r="E351" s="25" t="s">
        <v>11</v>
      </c>
      <c r="F351" s="26"/>
      <c r="G351" s="27" t="s">
        <v>38</v>
      </c>
      <c r="H351" s="28">
        <v>750.0</v>
      </c>
      <c r="I351" s="28">
        <v>11090.91</v>
      </c>
      <c r="J351" s="29">
        <v>8318182.5</v>
      </c>
      <c r="K351" s="29">
        <v>9650.995256845838</v>
      </c>
      <c r="L351" s="30">
        <v>37247.869999999995</v>
      </c>
      <c r="M351" s="29">
        <v>3.594790166976103E8</v>
      </c>
      <c r="N351" s="31" t="s">
        <v>433</v>
      </c>
      <c r="O351" s="32"/>
      <c r="P351" s="33" t="str">
        <f t="array" ref="P351">IFERROR(
HYPERLINK(
"https://drive.google.com/file/d/"&amp;
XLOOKUP(O351,'Hoa-Don'!A:A,'Hoa-Don'!D:D)
&amp;"/view",
"🔎"
),
""
)</f>
        <v/>
      </c>
    </row>
    <row r="352" ht="22.5" customHeight="1">
      <c r="A352" s="21">
        <v>351.0</v>
      </c>
      <c r="B352" s="22">
        <v>42725.0</v>
      </c>
      <c r="C352" s="23">
        <v>354.0</v>
      </c>
      <c r="D352" s="24" t="s">
        <v>253</v>
      </c>
      <c r="E352" s="25" t="s">
        <v>11</v>
      </c>
      <c r="F352" s="26"/>
      <c r="G352" s="27" t="s">
        <v>38</v>
      </c>
      <c r="H352" s="28">
        <v>638.0</v>
      </c>
      <c r="I352" s="28">
        <v>10636.36</v>
      </c>
      <c r="J352" s="29">
        <v>6785997.680000001</v>
      </c>
      <c r="K352" s="29">
        <v>9667.58884981684</v>
      </c>
      <c r="L352" s="30">
        <v>37885.869999999995</v>
      </c>
      <c r="M352" s="29">
        <v>3.662650143776103E8</v>
      </c>
      <c r="N352" s="31" t="s">
        <v>434</v>
      </c>
      <c r="O352" s="32"/>
      <c r="P352" s="33" t="str">
        <f t="array" ref="P352">IFERROR(
HYPERLINK(
"https://drive.google.com/file/d/"&amp;
XLOOKUP(O352,'Hoa-Don'!A:A,'Hoa-Don'!D:D)
&amp;"/view",
"🔎"
),
""
)</f>
        <v/>
      </c>
    </row>
    <row r="353" ht="22.5" customHeight="1">
      <c r="A353" s="21">
        <v>352.0</v>
      </c>
      <c r="B353" s="22">
        <v>42726.0</v>
      </c>
      <c r="C353" s="23">
        <v>165.0</v>
      </c>
      <c r="D353" s="24" t="s">
        <v>93</v>
      </c>
      <c r="E353" s="25" t="s">
        <v>11</v>
      </c>
      <c r="F353" s="26"/>
      <c r="G353" s="36" t="s">
        <v>42</v>
      </c>
      <c r="H353" s="28">
        <v>1260.0</v>
      </c>
      <c r="I353" s="28">
        <v>9667.58884981684</v>
      </c>
      <c r="J353" s="29">
        <v>1.218116195076922E7</v>
      </c>
      <c r="K353" s="29">
        <v>9667.58884981684</v>
      </c>
      <c r="L353" s="30">
        <v>36625.869999999995</v>
      </c>
      <c r="M353" s="29">
        <v>3.540838524268411E8</v>
      </c>
      <c r="N353" s="31" t="s">
        <v>435</v>
      </c>
      <c r="O353" s="32"/>
      <c r="P353" s="33" t="str">
        <f t="array" ref="P353">IFERROR(
HYPERLINK(
"https://drive.google.com/file/d/"&amp;
XLOOKUP(O353,'Hoa-Don'!A:A,'Hoa-Don'!D:D)
&amp;"/view",
"🔎"
),
""
)</f>
        <v/>
      </c>
    </row>
    <row r="354" ht="22.5" customHeight="1">
      <c r="A354" s="21">
        <v>353.0</v>
      </c>
      <c r="B354" s="22">
        <v>42726.0</v>
      </c>
      <c r="C354" s="23">
        <v>165.0</v>
      </c>
      <c r="D354" s="24" t="s">
        <v>93</v>
      </c>
      <c r="E354" s="25" t="s">
        <v>11</v>
      </c>
      <c r="F354" s="26"/>
      <c r="G354" s="36" t="s">
        <v>42</v>
      </c>
      <c r="H354" s="28">
        <v>2150.0</v>
      </c>
      <c r="I354" s="28">
        <v>9667.58884981684</v>
      </c>
      <c r="J354" s="29">
        <v>2.0785316027106207E7</v>
      </c>
      <c r="K354" s="29">
        <v>9667.58884981684</v>
      </c>
      <c r="L354" s="30">
        <v>34475.869999999995</v>
      </c>
      <c r="M354" s="29">
        <v>3.3329853639973485E8</v>
      </c>
      <c r="N354" s="31" t="s">
        <v>436</v>
      </c>
      <c r="O354" s="32"/>
      <c r="P354" s="33" t="str">
        <f t="array" ref="P354">IFERROR(
HYPERLINK(
"https://drive.google.com/file/d/"&amp;
XLOOKUP(O354,'Hoa-Don'!A:A,'Hoa-Don'!D:D)
&amp;"/view",
"🔎"
),
""
)</f>
        <v/>
      </c>
    </row>
    <row r="355" ht="22.5" customHeight="1">
      <c r="A355" s="21">
        <v>354.0</v>
      </c>
      <c r="B355" s="22">
        <v>42726.0</v>
      </c>
      <c r="C355" s="23">
        <v>165.0</v>
      </c>
      <c r="D355" s="24" t="s">
        <v>93</v>
      </c>
      <c r="E355" s="25" t="s">
        <v>11</v>
      </c>
      <c r="F355" s="26"/>
      <c r="G355" s="36" t="s">
        <v>42</v>
      </c>
      <c r="H355" s="28">
        <v>750.0</v>
      </c>
      <c r="I355" s="28">
        <v>9667.58884981684</v>
      </c>
      <c r="J355" s="29">
        <v>7250691.63736263</v>
      </c>
      <c r="K355" s="29">
        <v>9667.58884981684</v>
      </c>
      <c r="L355" s="30">
        <v>33725.869999999995</v>
      </c>
      <c r="M355" s="29">
        <v>3.2604784476237226E8</v>
      </c>
      <c r="N355" s="31" t="s">
        <v>437</v>
      </c>
      <c r="O355" s="32"/>
      <c r="P355" s="33" t="str">
        <f t="array" ref="P355">IFERROR(
HYPERLINK(
"https://drive.google.com/file/d/"&amp;
XLOOKUP(O355,'Hoa-Don'!A:A,'Hoa-Don'!D:D)
&amp;"/view",
"🔎"
),
""
)</f>
        <v/>
      </c>
    </row>
    <row r="356" ht="22.5" customHeight="1">
      <c r="A356" s="21">
        <v>355.0</v>
      </c>
      <c r="B356" s="22">
        <v>42726.0</v>
      </c>
      <c r="C356" s="23">
        <v>165.0</v>
      </c>
      <c r="D356" s="24" t="s">
        <v>93</v>
      </c>
      <c r="E356" s="25" t="s">
        <v>11</v>
      </c>
      <c r="F356" s="26"/>
      <c r="G356" s="36" t="s">
        <v>42</v>
      </c>
      <c r="H356" s="28">
        <v>638.0</v>
      </c>
      <c r="I356" s="28">
        <v>9667.58884981684</v>
      </c>
      <c r="J356" s="29">
        <v>6167921.686183144</v>
      </c>
      <c r="K356" s="29">
        <v>9667.58884981684</v>
      </c>
      <c r="L356" s="30">
        <v>33087.869999999995</v>
      </c>
      <c r="M356" s="29">
        <v>3.198799230761891E8</v>
      </c>
      <c r="N356" s="31" t="s">
        <v>438</v>
      </c>
      <c r="O356" s="32"/>
      <c r="P356" s="33" t="str">
        <f t="array" ref="P356">IFERROR(
HYPERLINK(
"https://drive.google.com/file/d/"&amp;
XLOOKUP(O356,'Hoa-Don'!A:A,'Hoa-Don'!D:D)
&amp;"/view",
"🔎"
),
""
)</f>
        <v/>
      </c>
    </row>
    <row r="357" ht="22.5" customHeight="1">
      <c r="A357" s="21">
        <v>356.0</v>
      </c>
      <c r="B357" s="22">
        <v>42726.0</v>
      </c>
      <c r="C357" s="23">
        <v>165.0</v>
      </c>
      <c r="D357" s="24" t="s">
        <v>93</v>
      </c>
      <c r="E357" s="35" t="s">
        <v>18</v>
      </c>
      <c r="F357" s="26"/>
      <c r="G357" s="36" t="s">
        <v>42</v>
      </c>
      <c r="H357" s="28">
        <v>6846.0</v>
      </c>
      <c r="I357" s="28">
        <v>8235.815615934713</v>
      </c>
      <c r="J357" s="29">
        <v>5.6382393706689045E7</v>
      </c>
      <c r="K357" s="29">
        <v>8235.815615934713</v>
      </c>
      <c r="L357" s="30">
        <v>45044.600000000006</v>
      </c>
      <c r="M357" s="29">
        <v>3.709790200935328E8</v>
      </c>
      <c r="N357" s="31" t="s">
        <v>439</v>
      </c>
      <c r="O357" s="32"/>
      <c r="P357" s="33" t="str">
        <f t="array" ref="P357">IFERROR(
HYPERLINK(
"https://drive.google.com/file/d/"&amp;
XLOOKUP(O357,'Hoa-Don'!A:A,'Hoa-Don'!D:D)
&amp;"/view",
"🔎"
),
""
)</f>
        <v/>
      </c>
    </row>
    <row r="358" ht="22.5" customHeight="1">
      <c r="A358" s="21">
        <v>357.0</v>
      </c>
      <c r="B358" s="22">
        <v>42727.0</v>
      </c>
      <c r="C358" s="23">
        <v>166.0</v>
      </c>
      <c r="D358" s="24" t="s">
        <v>130</v>
      </c>
      <c r="E358" s="25" t="s">
        <v>11</v>
      </c>
      <c r="F358" s="26"/>
      <c r="G358" s="36" t="s">
        <v>42</v>
      </c>
      <c r="H358" s="28">
        <v>136.0</v>
      </c>
      <c r="I358" s="28">
        <v>9667.58884981684</v>
      </c>
      <c r="J358" s="29">
        <v>1314792.0835750904</v>
      </c>
      <c r="K358" s="29">
        <v>9667.58884981684</v>
      </c>
      <c r="L358" s="30">
        <v>32951.869999999995</v>
      </c>
      <c r="M358" s="29">
        <v>3.1856513099261403E8</v>
      </c>
      <c r="N358" s="31" t="s">
        <v>440</v>
      </c>
      <c r="O358" s="32"/>
      <c r="P358" s="33" t="str">
        <f t="array" ref="P358">IFERROR(
HYPERLINK(
"https://drive.google.com/file/d/"&amp;
XLOOKUP(O358,'Hoa-Don'!A:A,'Hoa-Don'!D:D)
&amp;"/view",
"🔎"
),
""
)</f>
        <v/>
      </c>
    </row>
    <row r="359" ht="22.5" customHeight="1">
      <c r="A359" s="21">
        <v>358.0</v>
      </c>
      <c r="B359" s="22">
        <v>42732.0</v>
      </c>
      <c r="C359" s="23">
        <v>166.0</v>
      </c>
      <c r="D359" s="24" t="s">
        <v>393</v>
      </c>
      <c r="E359" s="25" t="s">
        <v>11</v>
      </c>
      <c r="F359" s="26"/>
      <c r="G359" s="27" t="s">
        <v>38</v>
      </c>
      <c r="H359" s="28">
        <v>8350.0</v>
      </c>
      <c r="I359" s="28">
        <v>11363.63</v>
      </c>
      <c r="J359" s="29">
        <v>9.48863105E7</v>
      </c>
      <c r="K359" s="29">
        <v>10010.477527836247</v>
      </c>
      <c r="L359" s="30">
        <v>41301.869999999995</v>
      </c>
      <c r="M359" s="29">
        <v>4.1345144149261403E8</v>
      </c>
      <c r="N359" s="31" t="s">
        <v>441</v>
      </c>
      <c r="O359" s="32"/>
      <c r="P359" s="33" t="str">
        <f t="array" ref="P359">IFERROR(
HYPERLINK(
"https://drive.google.com/file/d/"&amp;
XLOOKUP(O359,'Hoa-Don'!A:A,'Hoa-Don'!D:D)
&amp;"/view",
"🔎"
),
""
)</f>
        <v/>
      </c>
    </row>
    <row r="360" ht="22.5" customHeight="1">
      <c r="A360" s="21">
        <v>359.0</v>
      </c>
      <c r="B360" s="22">
        <v>42738.0</v>
      </c>
      <c r="C360" s="23">
        <v>491.0</v>
      </c>
      <c r="D360" s="24" t="s">
        <v>155</v>
      </c>
      <c r="E360" s="35" t="s">
        <v>18</v>
      </c>
      <c r="F360" s="26"/>
      <c r="G360" s="27" t="s">
        <v>38</v>
      </c>
      <c r="H360" s="28">
        <v>1390.0</v>
      </c>
      <c r="I360" s="28">
        <v>9876.45</v>
      </c>
      <c r="J360" s="29">
        <v>1.3728265500000002E7</v>
      </c>
      <c r="K360" s="29">
        <v>8284.927308376356</v>
      </c>
      <c r="L360" s="30">
        <v>46434.600000000006</v>
      </c>
      <c r="M360" s="29">
        <v>3.847072855935328E8</v>
      </c>
      <c r="N360" s="31" t="s">
        <v>442</v>
      </c>
      <c r="O360" s="32"/>
      <c r="P360" s="33" t="str">
        <f t="array" ref="P360">IFERROR(
HYPERLINK(
"https://drive.google.com/file/d/"&amp;
XLOOKUP(O360,'Hoa-Don'!A:A,'Hoa-Don'!D:D)
&amp;"/view",
"🔎"
),
""
)</f>
        <v/>
      </c>
    </row>
    <row r="361" ht="22.5" customHeight="1">
      <c r="A361" s="21">
        <v>360.0</v>
      </c>
      <c r="B361" s="22">
        <v>42740.0</v>
      </c>
      <c r="C361" s="23">
        <v>167.0</v>
      </c>
      <c r="D361" s="24" t="s">
        <v>430</v>
      </c>
      <c r="E361" s="35" t="s">
        <v>18</v>
      </c>
      <c r="F361" s="26"/>
      <c r="G361" s="36" t="s">
        <v>42</v>
      </c>
      <c r="H361" s="28">
        <v>25000.0</v>
      </c>
      <c r="I361" s="28">
        <v>8284.927308376356</v>
      </c>
      <c r="J361" s="29">
        <v>2.071231827094089E8</v>
      </c>
      <c r="K361" s="29">
        <v>8284.927308376356</v>
      </c>
      <c r="L361" s="30">
        <v>21434.600000000006</v>
      </c>
      <c r="M361" s="29">
        <v>1.775841028841239E8</v>
      </c>
      <c r="N361" s="31" t="s">
        <v>443</v>
      </c>
      <c r="O361" s="32"/>
      <c r="P361" s="33" t="str">
        <f t="array" ref="P361">IFERROR(
HYPERLINK(
"https://drive.google.com/file/d/"&amp;
XLOOKUP(O361,'Hoa-Don'!A:A,'Hoa-Don'!D:D)
&amp;"/view",
"🔎"
),
""
)</f>
        <v/>
      </c>
    </row>
    <row r="362" ht="22.5" customHeight="1">
      <c r="A362" s="21">
        <v>361.0</v>
      </c>
      <c r="B362" s="22">
        <v>42747.0</v>
      </c>
      <c r="C362" s="23">
        <v>168.0</v>
      </c>
      <c r="D362" s="24" t="s">
        <v>130</v>
      </c>
      <c r="E362" s="25" t="s">
        <v>11</v>
      </c>
      <c r="F362" s="26"/>
      <c r="G362" s="36" t="s">
        <v>42</v>
      </c>
      <c r="H362" s="28">
        <v>310.0</v>
      </c>
      <c r="I362" s="28">
        <v>10010.477527836247</v>
      </c>
      <c r="J362" s="29">
        <v>3103248.0336292363</v>
      </c>
      <c r="K362" s="29">
        <v>10010.477527836247</v>
      </c>
      <c r="L362" s="30">
        <v>40991.869999999995</v>
      </c>
      <c r="M362" s="29">
        <v>4.1034819345898473E8</v>
      </c>
      <c r="N362" s="31" t="s">
        <v>444</v>
      </c>
      <c r="O362" s="32"/>
      <c r="P362" s="33" t="str">
        <f t="array" ref="P362">IFERROR(
HYPERLINK(
"https://drive.google.com/file/d/"&amp;
XLOOKUP(O362,'Hoa-Don'!A:A,'Hoa-Don'!D:D)
&amp;"/view",
"🔎"
),
""
)</f>
        <v/>
      </c>
    </row>
    <row r="363" ht="22.5" customHeight="1">
      <c r="A363" s="21">
        <v>362.0</v>
      </c>
      <c r="B363" s="22">
        <v>42753.0</v>
      </c>
      <c r="C363" s="23">
        <v>875.0</v>
      </c>
      <c r="D363" s="24" t="s">
        <v>84</v>
      </c>
      <c r="E363" s="35" t="s">
        <v>18</v>
      </c>
      <c r="F363" s="26"/>
      <c r="G363" s="27" t="s">
        <v>38</v>
      </c>
      <c r="H363" s="28">
        <v>5410.0</v>
      </c>
      <c r="I363" s="28">
        <v>9909.09</v>
      </c>
      <c r="J363" s="29">
        <v>5.36081769E7</v>
      </c>
      <c r="K363" s="29">
        <v>8612.245285238887</v>
      </c>
      <c r="L363" s="30">
        <v>26844.600000000006</v>
      </c>
      <c r="M363" s="29">
        <v>2.311922797841239E8</v>
      </c>
      <c r="N363" s="31" t="s">
        <v>445</v>
      </c>
      <c r="O363" s="32"/>
      <c r="P363" s="33" t="str">
        <f t="array" ref="P363">IFERROR(
HYPERLINK(
"https://drive.google.com/file/d/"&amp;
XLOOKUP(O363,'Hoa-Don'!A:A,'Hoa-Don'!D:D)
&amp;"/view",
"🔎"
),
""
)</f>
        <v/>
      </c>
    </row>
    <row r="364" ht="22.5" customHeight="1">
      <c r="A364" s="21">
        <v>363.0</v>
      </c>
      <c r="B364" s="22">
        <v>42760.0</v>
      </c>
      <c r="C364" s="23">
        <v>169.0</v>
      </c>
      <c r="D364" s="24" t="s">
        <v>130</v>
      </c>
      <c r="E364" s="35" t="s">
        <v>18</v>
      </c>
      <c r="F364" s="26"/>
      <c r="G364" s="36" t="s">
        <v>42</v>
      </c>
      <c r="H364" s="28">
        <v>250.0</v>
      </c>
      <c r="I364" s="28">
        <v>8612.245285238887</v>
      </c>
      <c r="J364" s="29">
        <v>2153061.3213097216</v>
      </c>
      <c r="K364" s="29">
        <v>8612.245285238887</v>
      </c>
      <c r="L364" s="30">
        <v>26594.600000000006</v>
      </c>
      <c r="M364" s="29">
        <v>2.2903921846281415E8</v>
      </c>
      <c r="N364" s="31" t="s">
        <v>446</v>
      </c>
      <c r="O364" s="32"/>
      <c r="P364" s="33" t="str">
        <f t="array" ref="P364">IFERROR(
HYPERLINK(
"https://drive.google.com/file/d/"&amp;
XLOOKUP(O364,'Hoa-Don'!A:A,'Hoa-Don'!D:D)
&amp;"/view",
"🔎"
),
""
)</f>
        <v/>
      </c>
    </row>
    <row r="365" ht="22.5" customHeight="1">
      <c r="A365" s="21">
        <v>364.0</v>
      </c>
      <c r="B365" s="22">
        <v>42768.0</v>
      </c>
      <c r="C365" s="23">
        <v>170.0</v>
      </c>
      <c r="D365" s="24" t="s">
        <v>37</v>
      </c>
      <c r="E365" s="25" t="s">
        <v>11</v>
      </c>
      <c r="F365" s="26"/>
      <c r="G365" s="36" t="s">
        <v>42</v>
      </c>
      <c r="H365" s="28">
        <v>1639.0</v>
      </c>
      <c r="I365" s="28">
        <v>10010.477527836247</v>
      </c>
      <c r="J365" s="29">
        <v>1.6407172668123608E7</v>
      </c>
      <c r="K365" s="29">
        <v>10010.477527836247</v>
      </c>
      <c r="L365" s="30">
        <v>39352.869999999995</v>
      </c>
      <c r="M365" s="29">
        <v>3.939410207908611E8</v>
      </c>
      <c r="N365" s="31" t="s">
        <v>447</v>
      </c>
      <c r="O365" s="32"/>
      <c r="P365" s="33" t="str">
        <f t="array" ref="P365">IFERROR(
HYPERLINK(
"https://drive.google.com/file/d/"&amp;
XLOOKUP(O365,'Hoa-Don'!A:A,'Hoa-Don'!D:D)
&amp;"/view",
"🔎"
),
""
)</f>
        <v/>
      </c>
    </row>
    <row r="366" ht="22.5" customHeight="1">
      <c r="A366" s="21">
        <v>365.0</v>
      </c>
      <c r="B366" s="22">
        <v>42776.0</v>
      </c>
      <c r="C366" s="23">
        <v>171.0</v>
      </c>
      <c r="D366" s="24" t="s">
        <v>130</v>
      </c>
      <c r="E366" s="25" t="s">
        <v>11</v>
      </c>
      <c r="F366" s="26"/>
      <c r="G366" s="36" t="s">
        <v>42</v>
      </c>
      <c r="H366" s="28">
        <v>255.0</v>
      </c>
      <c r="I366" s="28">
        <v>10010.477527836247</v>
      </c>
      <c r="J366" s="29">
        <v>2552671.769598243</v>
      </c>
      <c r="K366" s="29">
        <v>10010.477527836247</v>
      </c>
      <c r="L366" s="30">
        <v>39097.869999999995</v>
      </c>
      <c r="M366" s="29">
        <v>3.913883490212629E8</v>
      </c>
      <c r="N366" s="31" t="s">
        <v>448</v>
      </c>
      <c r="O366" s="32"/>
      <c r="P366" s="33" t="str">
        <f t="array" ref="P366">IFERROR(
HYPERLINK(
"https://drive.google.com/file/d/"&amp;
XLOOKUP(O366,'Hoa-Don'!A:A,'Hoa-Don'!D:D)
&amp;"/view",
"🔎"
),
""
)</f>
        <v/>
      </c>
    </row>
    <row r="367" ht="22.5" customHeight="1">
      <c r="A367" s="21">
        <v>366.0</v>
      </c>
      <c r="B367" s="22">
        <v>42782.0</v>
      </c>
      <c r="C367" s="23">
        <v>217.0</v>
      </c>
      <c r="D367" s="24" t="s">
        <v>393</v>
      </c>
      <c r="E367" s="25" t="s">
        <v>11</v>
      </c>
      <c r="F367" s="26"/>
      <c r="G367" s="27" t="s">
        <v>38</v>
      </c>
      <c r="H367" s="28">
        <v>10340.0</v>
      </c>
      <c r="I367" s="28">
        <v>11363.63</v>
      </c>
      <c r="J367" s="29">
        <v>1.1749993419999999E8</v>
      </c>
      <c r="K367" s="29">
        <v>10293.49126937028</v>
      </c>
      <c r="L367" s="30">
        <v>49437.869999999995</v>
      </c>
      <c r="M367" s="29">
        <v>5.088882832212629E8</v>
      </c>
      <c r="N367" s="31" t="s">
        <v>449</v>
      </c>
      <c r="O367" s="32"/>
      <c r="P367" s="33" t="str">
        <f t="array" ref="P367">IFERROR(
HYPERLINK(
"https://drive.google.com/file/d/"&amp;
XLOOKUP(O367,'Hoa-Don'!A:A,'Hoa-Don'!D:D)
&amp;"/view",
"🔎"
),
""
)</f>
        <v/>
      </c>
    </row>
    <row r="368" ht="22.5" customHeight="1">
      <c r="A368" s="21">
        <v>367.0</v>
      </c>
      <c r="B368" s="22">
        <v>42786.0</v>
      </c>
      <c r="C368" s="23">
        <v>903.0</v>
      </c>
      <c r="D368" s="24" t="s">
        <v>84</v>
      </c>
      <c r="E368" s="35" t="s">
        <v>18</v>
      </c>
      <c r="F368" s="26"/>
      <c r="G368" s="27" t="s">
        <v>38</v>
      </c>
      <c r="H368" s="28">
        <v>16330.0</v>
      </c>
      <c r="I368" s="28">
        <v>9818.18</v>
      </c>
      <c r="J368" s="29">
        <v>1.603308794E8</v>
      </c>
      <c r="K368" s="29">
        <v>9071.02449091696</v>
      </c>
      <c r="L368" s="30">
        <v>42924.600000000006</v>
      </c>
      <c r="M368" s="29">
        <v>3.893700978628142E8</v>
      </c>
      <c r="N368" s="31" t="s">
        <v>450</v>
      </c>
      <c r="O368" s="32"/>
      <c r="P368" s="33" t="str">
        <f t="array" ref="P368">IFERROR(
HYPERLINK(
"https://drive.google.com/file/d/"&amp;
XLOOKUP(O368,'Hoa-Don'!A:A,'Hoa-Don'!D:D)
&amp;"/view",
"🔎"
),
""
)</f>
        <v/>
      </c>
    </row>
    <row r="369" ht="22.5" customHeight="1">
      <c r="A369" s="21">
        <v>368.0</v>
      </c>
      <c r="B369" s="22">
        <v>42786.0</v>
      </c>
      <c r="C369" s="23">
        <v>10377.0</v>
      </c>
      <c r="D369" s="24" t="s">
        <v>246</v>
      </c>
      <c r="E369" s="25" t="s">
        <v>11</v>
      </c>
      <c r="F369" s="26"/>
      <c r="G369" s="27" t="s">
        <v>38</v>
      </c>
      <c r="H369" s="28">
        <v>1147.0</v>
      </c>
      <c r="I369" s="28">
        <v>13000.0</v>
      </c>
      <c r="J369" s="29">
        <v>1.4911E7</v>
      </c>
      <c r="K369" s="29">
        <v>10354.86071667799</v>
      </c>
      <c r="L369" s="30">
        <v>50584.869999999995</v>
      </c>
      <c r="M369" s="29">
        <v>5.237992832212629E8</v>
      </c>
      <c r="N369" s="31" t="s">
        <v>451</v>
      </c>
      <c r="O369" s="32"/>
      <c r="P369" s="33" t="str">
        <f t="array" ref="P369">IFERROR(
HYPERLINK(
"https://drive.google.com/file/d/"&amp;
XLOOKUP(O369,'Hoa-Don'!A:A,'Hoa-Don'!D:D)
&amp;"/view",
"🔎"
),
""
)</f>
        <v/>
      </c>
    </row>
    <row r="370" ht="22.5" customHeight="1">
      <c r="A370" s="21">
        <v>369.0</v>
      </c>
      <c r="B370" s="22">
        <v>42788.0</v>
      </c>
      <c r="C370" s="23">
        <v>2528.0</v>
      </c>
      <c r="D370" s="24" t="s">
        <v>86</v>
      </c>
      <c r="E370" s="35" t="s">
        <v>18</v>
      </c>
      <c r="F370" s="26"/>
      <c r="G370" s="27" t="s">
        <v>38</v>
      </c>
      <c r="H370" s="28">
        <v>1400.0</v>
      </c>
      <c r="I370" s="28">
        <v>12090.91</v>
      </c>
      <c r="J370" s="29">
        <v>1.6927274E7</v>
      </c>
      <c r="K370" s="29">
        <v>9166.408086318075</v>
      </c>
      <c r="L370" s="30">
        <v>44324.600000000006</v>
      </c>
      <c r="M370" s="29">
        <v>4.062973718628142E8</v>
      </c>
      <c r="N370" s="31" t="s">
        <v>452</v>
      </c>
      <c r="O370" s="32"/>
      <c r="P370" s="33" t="str">
        <f t="array" ref="P370">IFERROR(
HYPERLINK(
"https://drive.google.com/file/d/"&amp;
XLOOKUP(O370,'Hoa-Don'!A:A,'Hoa-Don'!D:D)
&amp;"/view",
"🔎"
),
""
)</f>
        <v/>
      </c>
    </row>
    <row r="371" ht="22.5" customHeight="1">
      <c r="A371" s="21">
        <v>370.0</v>
      </c>
      <c r="B371" s="22">
        <v>42794.0</v>
      </c>
      <c r="C371" s="23">
        <v>2573.0</v>
      </c>
      <c r="D371" s="24" t="s">
        <v>86</v>
      </c>
      <c r="E371" s="25" t="s">
        <v>11</v>
      </c>
      <c r="F371" s="26"/>
      <c r="G371" s="27" t="s">
        <v>38</v>
      </c>
      <c r="H371" s="28">
        <v>4306.23</v>
      </c>
      <c r="I371" s="28">
        <v>11636.36</v>
      </c>
      <c r="J371" s="29">
        <v>5.01088425228E7</v>
      </c>
      <c r="K371" s="29">
        <v>10455.394877203462</v>
      </c>
      <c r="L371" s="30">
        <v>54891.09999999999</v>
      </c>
      <c r="M371" s="29">
        <v>5.739081257440629E8</v>
      </c>
      <c r="N371" s="31" t="s">
        <v>453</v>
      </c>
      <c r="O371" s="32"/>
      <c r="P371" s="33" t="str">
        <f t="array" ref="P371">IFERROR(
HYPERLINK(
"https://drive.google.com/file/d/"&amp;
XLOOKUP(O371,'Hoa-Don'!A:A,'Hoa-Don'!D:D)
&amp;"/view",
"🔎"
),
""
)</f>
        <v/>
      </c>
    </row>
    <row r="372" ht="22.5" customHeight="1">
      <c r="A372" s="21">
        <v>371.0</v>
      </c>
      <c r="B372" s="22">
        <v>42797.0</v>
      </c>
      <c r="C372" s="23">
        <v>920.0</v>
      </c>
      <c r="D372" s="24" t="s">
        <v>84</v>
      </c>
      <c r="E372" s="25" t="s">
        <v>11</v>
      </c>
      <c r="F372" s="26"/>
      <c r="G372" s="27" t="s">
        <v>38</v>
      </c>
      <c r="H372" s="28">
        <v>6495.0</v>
      </c>
      <c r="I372" s="28">
        <v>10942.75</v>
      </c>
      <c r="J372" s="29">
        <v>7.107316125E7</v>
      </c>
      <c r="K372" s="29">
        <v>10506.95983282963</v>
      </c>
      <c r="L372" s="30">
        <v>61386.09999999999</v>
      </c>
      <c r="M372" s="29">
        <v>6.449812869940629E8</v>
      </c>
      <c r="N372" s="31" t="s">
        <v>454</v>
      </c>
      <c r="O372" s="32"/>
      <c r="P372" s="33" t="str">
        <f t="array" ref="P372">IFERROR(
HYPERLINK(
"https://drive.google.com/file/d/"&amp;
XLOOKUP(O372,'Hoa-Don'!A:A,'Hoa-Don'!D:D)
&amp;"/view",
"🔎"
),
""
)</f>
        <v/>
      </c>
    </row>
    <row r="373" ht="22.5" customHeight="1">
      <c r="A373" s="21">
        <v>372.0</v>
      </c>
      <c r="B373" s="22">
        <v>42798.0</v>
      </c>
      <c r="C373" s="23">
        <v>2606.0</v>
      </c>
      <c r="D373" s="24" t="s">
        <v>86</v>
      </c>
      <c r="E373" s="25" t="s">
        <v>11</v>
      </c>
      <c r="F373" s="26"/>
      <c r="G373" s="27" t="s">
        <v>38</v>
      </c>
      <c r="H373" s="28">
        <v>2410.0</v>
      </c>
      <c r="I373" s="28">
        <v>11636.36</v>
      </c>
      <c r="J373" s="29">
        <v>2.80436276E7</v>
      </c>
      <c r="K373" s="29">
        <v>10549.624735588273</v>
      </c>
      <c r="L373" s="30">
        <v>63796.09999999999</v>
      </c>
      <c r="M373" s="29">
        <v>6.730249145940629E8</v>
      </c>
      <c r="N373" s="31" t="s">
        <v>455</v>
      </c>
      <c r="O373" s="32"/>
      <c r="P373" s="33" t="str">
        <f t="array" ref="P373">IFERROR(
HYPERLINK(
"https://drive.google.com/file/d/"&amp;
XLOOKUP(O373,'Hoa-Don'!A:A,'Hoa-Don'!D:D)
&amp;"/view",
"🔎"
),
""
)</f>
        <v/>
      </c>
    </row>
    <row r="374" ht="22.5" customHeight="1">
      <c r="A374" s="21">
        <v>373.0</v>
      </c>
      <c r="B374" s="22">
        <v>42799.0</v>
      </c>
      <c r="C374" s="23">
        <v>172.0</v>
      </c>
      <c r="D374" s="24" t="s">
        <v>130</v>
      </c>
      <c r="E374" s="35" t="s">
        <v>18</v>
      </c>
      <c r="F374" s="26"/>
      <c r="G374" s="36" t="s">
        <v>42</v>
      </c>
      <c r="H374" s="28">
        <v>115.0</v>
      </c>
      <c r="I374" s="28">
        <v>9166.408086318075</v>
      </c>
      <c r="J374" s="29">
        <v>1054136.9299265787</v>
      </c>
      <c r="K374" s="29">
        <v>9166.408086318075</v>
      </c>
      <c r="L374" s="30">
        <v>44209.600000000006</v>
      </c>
      <c r="M374" s="29">
        <v>4.052432349328876E8</v>
      </c>
      <c r="N374" s="31" t="s">
        <v>456</v>
      </c>
      <c r="O374" s="32"/>
      <c r="P374" s="33" t="str">
        <f t="array" ref="P374">IFERROR(
HYPERLINK(
"https://drive.google.com/file/d/"&amp;
XLOOKUP(O374,'Hoa-Don'!A:A,'Hoa-Don'!D:D)
&amp;"/view",
"🔎"
),
""
)</f>
        <v/>
      </c>
    </row>
    <row r="375" ht="22.5" customHeight="1">
      <c r="A375" s="21">
        <v>374.0</v>
      </c>
      <c r="B375" s="22">
        <v>42800.0</v>
      </c>
      <c r="C375" s="23">
        <v>11158.0</v>
      </c>
      <c r="D375" s="24" t="s">
        <v>246</v>
      </c>
      <c r="E375" s="25" t="s">
        <v>11</v>
      </c>
      <c r="F375" s="26"/>
      <c r="G375" s="27" t="s">
        <v>38</v>
      </c>
      <c r="H375" s="28">
        <v>588.0</v>
      </c>
      <c r="I375" s="28">
        <v>13363.6</v>
      </c>
      <c r="J375" s="29">
        <v>7857796.8</v>
      </c>
      <c r="K375" s="29">
        <v>10575.323898199445</v>
      </c>
      <c r="L375" s="30">
        <v>64384.09999999999</v>
      </c>
      <c r="M375" s="29">
        <v>6.808827113940629E8</v>
      </c>
      <c r="N375" s="31" t="s">
        <v>457</v>
      </c>
      <c r="O375" s="32"/>
      <c r="P375" s="33" t="str">
        <f t="array" ref="P375">IFERROR(
HYPERLINK(
"https://drive.google.com/file/d/"&amp;
XLOOKUP(O375,'Hoa-Don'!A:A,'Hoa-Don'!D:D)
&amp;"/view",
"🔎"
),
""
)</f>
        <v/>
      </c>
    </row>
    <row r="376" ht="22.5" customHeight="1">
      <c r="A376" s="21">
        <v>375.0</v>
      </c>
      <c r="B376" s="22">
        <v>42800.0</v>
      </c>
      <c r="C376" s="23">
        <v>11158.0</v>
      </c>
      <c r="D376" s="24" t="s">
        <v>246</v>
      </c>
      <c r="E376" s="25" t="s">
        <v>11</v>
      </c>
      <c r="F376" s="26"/>
      <c r="G376" s="27" t="s">
        <v>38</v>
      </c>
      <c r="H376" s="28">
        <v>432.0</v>
      </c>
      <c r="I376" s="28">
        <v>13363.6</v>
      </c>
      <c r="J376" s="29">
        <v>5773075.2</v>
      </c>
      <c r="K376" s="29">
        <v>10593.907788251114</v>
      </c>
      <c r="L376" s="30">
        <v>64816.09999999999</v>
      </c>
      <c r="M376" s="29">
        <v>6.866557865940629E8</v>
      </c>
      <c r="N376" s="31" t="s">
        <v>458</v>
      </c>
      <c r="O376" s="32"/>
      <c r="P376" s="33" t="str">
        <f t="array" ref="P376">IFERROR(
HYPERLINK(
"https://drive.google.com/file/d/"&amp;
XLOOKUP(O376,'Hoa-Don'!A:A,'Hoa-Don'!D:D)
&amp;"/view",
"🔎"
),
""
)</f>
        <v/>
      </c>
    </row>
    <row r="377" ht="22.5" customHeight="1">
      <c r="A377" s="21">
        <v>376.0</v>
      </c>
      <c r="B377" s="22">
        <v>42800.0</v>
      </c>
      <c r="C377" s="23">
        <v>11158.0</v>
      </c>
      <c r="D377" s="24" t="s">
        <v>246</v>
      </c>
      <c r="E377" s="25" t="s">
        <v>11</v>
      </c>
      <c r="F377" s="26"/>
      <c r="G377" s="27" t="s">
        <v>38</v>
      </c>
      <c r="H377" s="28">
        <v>637.0</v>
      </c>
      <c r="I377" s="28">
        <v>13363.6</v>
      </c>
      <c r="J377" s="29">
        <v>8512613.200000001</v>
      </c>
      <c r="K377" s="29">
        <v>10620.862874242213</v>
      </c>
      <c r="L377" s="30">
        <v>65453.09999999999</v>
      </c>
      <c r="M377" s="29">
        <v>6.95168399794063E8</v>
      </c>
      <c r="N377" s="31" t="s">
        <v>459</v>
      </c>
      <c r="O377" s="32"/>
      <c r="P377" s="33" t="str">
        <f t="array" ref="P377">IFERROR(
HYPERLINK(
"https://drive.google.com/file/d/"&amp;
XLOOKUP(O377,'Hoa-Don'!A:A,'Hoa-Don'!D:D)
&amp;"/view",
"🔎"
),
""
)</f>
        <v/>
      </c>
    </row>
    <row r="378" ht="22.5" customHeight="1">
      <c r="A378" s="21">
        <v>377.0</v>
      </c>
      <c r="B378" s="22">
        <v>42800.0</v>
      </c>
      <c r="C378" s="23">
        <v>173.0</v>
      </c>
      <c r="D378" s="24" t="s">
        <v>460</v>
      </c>
      <c r="E378" s="35" t="s">
        <v>18</v>
      </c>
      <c r="F378" s="26"/>
      <c r="G378" s="36" t="s">
        <v>42</v>
      </c>
      <c r="H378" s="28">
        <v>9200.0</v>
      </c>
      <c r="I378" s="28">
        <v>9166.408086318075</v>
      </c>
      <c r="J378" s="29">
        <v>8.43309543941263E7</v>
      </c>
      <c r="K378" s="29">
        <v>9166.408086318075</v>
      </c>
      <c r="L378" s="30">
        <v>35009.600000000006</v>
      </c>
      <c r="M378" s="29">
        <v>3.209122805387613E8</v>
      </c>
      <c r="N378" s="31" t="s">
        <v>461</v>
      </c>
      <c r="O378" s="32"/>
      <c r="P378" s="33" t="str">
        <f t="array" ref="P378">IFERROR(
HYPERLINK(
"https://drive.google.com/file/d/"&amp;
XLOOKUP(O378,'Hoa-Don'!A:A,'Hoa-Don'!D:D)
&amp;"/view",
"🔎"
),
""
)</f>
        <v/>
      </c>
    </row>
    <row r="379" ht="22.5" customHeight="1">
      <c r="A379" s="21">
        <v>378.0</v>
      </c>
      <c r="B379" s="22">
        <v>42801.0</v>
      </c>
      <c r="C379" s="23">
        <v>11254.0</v>
      </c>
      <c r="D379" s="24" t="s">
        <v>246</v>
      </c>
      <c r="E379" s="25" t="s">
        <v>11</v>
      </c>
      <c r="F379" s="26"/>
      <c r="G379" s="27" t="s">
        <v>38</v>
      </c>
      <c r="H379" s="28">
        <v>1093.0</v>
      </c>
      <c r="I379" s="28">
        <v>13363.6</v>
      </c>
      <c r="J379" s="29">
        <v>1.46064148E7</v>
      </c>
      <c r="K379" s="29">
        <v>10665.911519894675</v>
      </c>
      <c r="L379" s="30">
        <v>66546.09999999999</v>
      </c>
      <c r="M379" s="29">
        <v>7.097748145940629E8</v>
      </c>
      <c r="N379" s="31" t="s">
        <v>462</v>
      </c>
      <c r="O379" s="32"/>
      <c r="P379" s="33" t="str">
        <f t="array" ref="P379">IFERROR(
HYPERLINK(
"https://drive.google.com/file/d/"&amp;
XLOOKUP(O379,'Hoa-Don'!A:A,'Hoa-Don'!D:D)
&amp;"/view",
"🔎"
),
""
)</f>
        <v/>
      </c>
    </row>
    <row r="380" ht="22.5" customHeight="1">
      <c r="A380" s="21">
        <v>379.0</v>
      </c>
      <c r="B380" s="22">
        <v>42801.0</v>
      </c>
      <c r="C380" s="23">
        <v>174.0</v>
      </c>
      <c r="D380" s="24" t="s">
        <v>93</v>
      </c>
      <c r="E380" s="25" t="s">
        <v>11</v>
      </c>
      <c r="F380" s="26"/>
      <c r="G380" s="36" t="s">
        <v>42</v>
      </c>
      <c r="H380" s="28">
        <v>6457.0</v>
      </c>
      <c r="I380" s="28">
        <v>10665.911519894675</v>
      </c>
      <c r="J380" s="29">
        <v>6.886979068395992E7</v>
      </c>
      <c r="K380" s="29">
        <v>10665.911519894675</v>
      </c>
      <c r="L380" s="30">
        <v>60089.09999999999</v>
      </c>
      <c r="M380" s="29">
        <v>6.40905023910103E8</v>
      </c>
      <c r="N380" s="31" t="s">
        <v>463</v>
      </c>
      <c r="O380" s="32"/>
      <c r="P380" s="33" t="str">
        <f t="array" ref="P380">IFERROR(
HYPERLINK(
"https://drive.google.com/file/d/"&amp;
XLOOKUP(O380,'Hoa-Don'!A:A,'Hoa-Don'!D:D)
&amp;"/view",
"🔎"
),
""
)</f>
        <v/>
      </c>
    </row>
    <row r="381" ht="22.5" customHeight="1">
      <c r="A381" s="21">
        <v>380.0</v>
      </c>
      <c r="B381" s="22">
        <v>42802.0</v>
      </c>
      <c r="C381" s="23">
        <v>11277.0</v>
      </c>
      <c r="D381" s="24" t="s">
        <v>246</v>
      </c>
      <c r="E381" s="25" t="s">
        <v>11</v>
      </c>
      <c r="F381" s="26"/>
      <c r="G381" s="27" t="s">
        <v>38</v>
      </c>
      <c r="H381" s="28">
        <v>962.0</v>
      </c>
      <c r="I381" s="28">
        <v>13363.6</v>
      </c>
      <c r="J381" s="29">
        <v>1.2855783200000001E7</v>
      </c>
      <c r="K381" s="29">
        <v>10708.419784575595</v>
      </c>
      <c r="L381" s="30">
        <v>61051.09999999999</v>
      </c>
      <c r="M381" s="29">
        <v>6.53760807110103E8</v>
      </c>
      <c r="N381" s="31" t="s">
        <v>464</v>
      </c>
      <c r="O381" s="32"/>
      <c r="P381" s="33" t="str">
        <f t="array" ref="P381">IFERROR(
HYPERLINK(
"https://drive.google.com/file/d/"&amp;
XLOOKUP(O381,'Hoa-Don'!A:A,'Hoa-Don'!D:D)
&amp;"/view",
"🔎"
),
""
)</f>
        <v/>
      </c>
    </row>
    <row r="382" ht="22.5" customHeight="1">
      <c r="A382" s="21">
        <v>381.0</v>
      </c>
      <c r="B382" s="22">
        <v>42803.0</v>
      </c>
      <c r="C382" s="23">
        <v>11358.0</v>
      </c>
      <c r="D382" s="24" t="s">
        <v>246</v>
      </c>
      <c r="E382" s="25" t="s">
        <v>11</v>
      </c>
      <c r="F382" s="26"/>
      <c r="G382" s="27" t="s">
        <v>38</v>
      </c>
      <c r="H382" s="28">
        <v>760.0</v>
      </c>
      <c r="I382" s="28">
        <v>13363.6</v>
      </c>
      <c r="J382" s="29">
        <v>1.0156336E7</v>
      </c>
      <c r="K382" s="29">
        <v>10741.06662250151</v>
      </c>
      <c r="L382" s="30">
        <v>61811.09999999999</v>
      </c>
      <c r="M382" s="29">
        <v>6.63917143110103E8</v>
      </c>
      <c r="N382" s="31" t="s">
        <v>465</v>
      </c>
      <c r="O382" s="32"/>
      <c r="P382" s="33" t="str">
        <f t="array" ref="P382">IFERROR(
HYPERLINK(
"https://drive.google.com/file/d/"&amp;
XLOOKUP(O382,'Hoa-Don'!A:A,'Hoa-Don'!D:D)
&amp;"/view",
"🔎"
),
""
)</f>
        <v/>
      </c>
    </row>
    <row r="383" ht="22.5" customHeight="1">
      <c r="A383" s="21">
        <v>382.0</v>
      </c>
      <c r="B383" s="22">
        <v>42813.0</v>
      </c>
      <c r="C383" s="23">
        <v>175.0</v>
      </c>
      <c r="D383" s="24" t="s">
        <v>130</v>
      </c>
      <c r="E383" s="25" t="s">
        <v>11</v>
      </c>
      <c r="F383" s="26"/>
      <c r="G383" s="36" t="s">
        <v>42</v>
      </c>
      <c r="H383" s="28">
        <v>105.0</v>
      </c>
      <c r="I383" s="28">
        <v>10741.06662250151</v>
      </c>
      <c r="J383" s="29">
        <v>1127811.9953626585</v>
      </c>
      <c r="K383" s="29">
        <v>10741.06662250151</v>
      </c>
      <c r="L383" s="30">
        <v>61706.09999999999</v>
      </c>
      <c r="M383" s="29">
        <v>6.627893311147404E8</v>
      </c>
      <c r="N383" s="31" t="s">
        <v>466</v>
      </c>
      <c r="O383" s="32"/>
      <c r="P383" s="33" t="str">
        <f t="array" ref="P383">IFERROR(
HYPERLINK(
"https://drive.google.com/file/d/"&amp;
XLOOKUP(O383,'Hoa-Don'!A:A,'Hoa-Don'!D:D)
&amp;"/view",
"🔎"
),
""
)</f>
        <v/>
      </c>
    </row>
    <row r="384" ht="22.5" customHeight="1">
      <c r="A384" s="21">
        <v>383.0</v>
      </c>
      <c r="B384" s="22">
        <v>42814.0</v>
      </c>
      <c r="C384" s="23">
        <v>176.0</v>
      </c>
      <c r="D384" s="24" t="s">
        <v>93</v>
      </c>
      <c r="E384" s="25" t="s">
        <v>11</v>
      </c>
      <c r="F384" s="26"/>
      <c r="G384" s="36" t="s">
        <v>42</v>
      </c>
      <c r="H384" s="28">
        <v>1093.0</v>
      </c>
      <c r="I384" s="28">
        <v>10741.06662250151</v>
      </c>
      <c r="J384" s="29">
        <v>1.173998581839415E7</v>
      </c>
      <c r="K384" s="29">
        <v>10741.06662250151</v>
      </c>
      <c r="L384" s="30">
        <v>60613.09999999999</v>
      </c>
      <c r="M384" s="29">
        <v>6.510493452963462E8</v>
      </c>
      <c r="N384" s="31" t="s">
        <v>467</v>
      </c>
      <c r="O384" s="32"/>
      <c r="P384" s="33" t="str">
        <f t="array" ref="P384">IFERROR(
HYPERLINK(
"https://drive.google.com/file/d/"&amp;
XLOOKUP(O384,'Hoa-Don'!A:A,'Hoa-Don'!D:D)
&amp;"/view",
"🔎"
),
""
)</f>
        <v/>
      </c>
    </row>
    <row r="385" ht="22.5" customHeight="1">
      <c r="A385" s="21">
        <v>384.0</v>
      </c>
      <c r="B385" s="22">
        <v>42814.0</v>
      </c>
      <c r="C385" s="23">
        <v>176.0</v>
      </c>
      <c r="D385" s="24" t="s">
        <v>93</v>
      </c>
      <c r="E385" s="35" t="s">
        <v>18</v>
      </c>
      <c r="F385" s="26"/>
      <c r="G385" s="36" t="s">
        <v>42</v>
      </c>
      <c r="H385" s="28">
        <v>10451.0</v>
      </c>
      <c r="I385" s="28">
        <v>9166.408086318075</v>
      </c>
      <c r="J385" s="29">
        <v>9.57981309101102E7</v>
      </c>
      <c r="K385" s="29">
        <v>9166.408086318075</v>
      </c>
      <c r="L385" s="30">
        <v>24558.600000000006</v>
      </c>
      <c r="M385" s="29">
        <v>2.2511414962865114E8</v>
      </c>
      <c r="N385" s="31" t="s">
        <v>468</v>
      </c>
      <c r="O385" s="32"/>
      <c r="P385" s="33" t="str">
        <f t="array" ref="P385">IFERROR(
HYPERLINK(
"https://drive.google.com/file/d/"&amp;
XLOOKUP(O385,'Hoa-Don'!A:A,'Hoa-Don'!D:D)
&amp;"/view",
"🔎"
),
""
)</f>
        <v/>
      </c>
    </row>
    <row r="386" ht="22.5" customHeight="1">
      <c r="A386" s="21">
        <v>385.0</v>
      </c>
      <c r="B386" s="22">
        <v>42818.0</v>
      </c>
      <c r="C386" s="23">
        <v>297.0</v>
      </c>
      <c r="D386" s="24" t="s">
        <v>393</v>
      </c>
      <c r="E386" s="25" t="s">
        <v>11</v>
      </c>
      <c r="F386" s="26"/>
      <c r="G386" s="27" t="s">
        <v>38</v>
      </c>
      <c r="H386" s="28">
        <v>845.0</v>
      </c>
      <c r="I386" s="28">
        <v>12545.45</v>
      </c>
      <c r="J386" s="29">
        <v>1.060090525E7</v>
      </c>
      <c r="K386" s="29">
        <v>10765.87545899314</v>
      </c>
      <c r="L386" s="30">
        <v>61458.09999999999</v>
      </c>
      <c r="M386" s="29">
        <v>6.616502505463462E8</v>
      </c>
      <c r="N386" s="31" t="s">
        <v>469</v>
      </c>
      <c r="O386" s="32"/>
      <c r="P386" s="33" t="str">
        <f t="array" ref="P386">IFERROR(
HYPERLINK(
"https://drive.google.com/file/d/"&amp;
XLOOKUP(O386,'Hoa-Don'!A:A,'Hoa-Don'!D:D)
&amp;"/view",
"🔎"
),
""
)</f>
        <v/>
      </c>
    </row>
    <row r="387" ht="22.5" customHeight="1">
      <c r="A387" s="21">
        <v>386.0</v>
      </c>
      <c r="B387" s="22">
        <v>42819.0</v>
      </c>
      <c r="C387" s="23">
        <v>177.0</v>
      </c>
      <c r="D387" s="24" t="s">
        <v>130</v>
      </c>
      <c r="E387" s="25" t="s">
        <v>11</v>
      </c>
      <c r="F387" s="26"/>
      <c r="G387" s="36" t="s">
        <v>42</v>
      </c>
      <c r="H387" s="28">
        <v>95.0</v>
      </c>
      <c r="I387" s="28">
        <v>10765.87545899314</v>
      </c>
      <c r="J387" s="29">
        <v>1022758.1686043482</v>
      </c>
      <c r="K387" s="29">
        <v>10765.87545899314</v>
      </c>
      <c r="L387" s="30">
        <v>61363.09999999999</v>
      </c>
      <c r="M387" s="29">
        <v>6.606274923777418E8</v>
      </c>
      <c r="N387" s="31" t="s">
        <v>470</v>
      </c>
      <c r="O387" s="32"/>
      <c r="P387" s="33" t="str">
        <f t="array" ref="P387">IFERROR(
HYPERLINK(
"https://drive.google.com/file/d/"&amp;
XLOOKUP(O387,'Hoa-Don'!A:A,'Hoa-Don'!D:D)
&amp;"/view",
"🔎"
),
""
)</f>
        <v/>
      </c>
    </row>
    <row r="388" ht="22.5" customHeight="1">
      <c r="A388" s="21">
        <v>387.0</v>
      </c>
      <c r="B388" s="22">
        <v>42824.0</v>
      </c>
      <c r="C388" s="23">
        <v>415.0</v>
      </c>
      <c r="D388" s="24" t="s">
        <v>402</v>
      </c>
      <c r="E388" s="35" t="s">
        <v>18</v>
      </c>
      <c r="F388" s="26"/>
      <c r="G388" s="27" t="s">
        <v>38</v>
      </c>
      <c r="H388" s="28">
        <v>3564.0</v>
      </c>
      <c r="I388" s="28">
        <v>10909.09</v>
      </c>
      <c r="J388" s="29">
        <v>3.887999676E7</v>
      </c>
      <c r="K388" s="29">
        <v>9387.259584414353</v>
      </c>
      <c r="L388" s="30">
        <v>28122.600000000006</v>
      </c>
      <c r="M388" s="29">
        <v>2.6399414638865113E8</v>
      </c>
      <c r="N388" s="31" t="s">
        <v>471</v>
      </c>
      <c r="O388" s="32"/>
      <c r="P388" s="33" t="str">
        <f t="array" ref="P388">IFERROR(
HYPERLINK(
"https://drive.google.com/file/d/"&amp;
XLOOKUP(O388,'Hoa-Don'!A:A,'Hoa-Don'!D:D)
&amp;"/view",
"🔎"
),
""
)</f>
        <v/>
      </c>
    </row>
    <row r="389" ht="22.5" customHeight="1">
      <c r="A389" s="21">
        <v>388.0</v>
      </c>
      <c r="B389" s="22">
        <v>42826.0</v>
      </c>
      <c r="C389" s="23">
        <v>178.0</v>
      </c>
      <c r="D389" s="24" t="s">
        <v>93</v>
      </c>
      <c r="E389" s="25" t="s">
        <v>11</v>
      </c>
      <c r="F389" s="26"/>
      <c r="G389" s="36" t="s">
        <v>42</v>
      </c>
      <c r="H389" s="28">
        <v>11538.0</v>
      </c>
      <c r="I389" s="28">
        <v>10765.87545899314</v>
      </c>
      <c r="J389" s="29">
        <v>1.2421667104586284E8</v>
      </c>
      <c r="K389" s="29">
        <v>10765.87545899314</v>
      </c>
      <c r="L389" s="30">
        <v>49825.09999999999</v>
      </c>
      <c r="M389" s="29">
        <v>5.3641082133187896E8</v>
      </c>
      <c r="N389" s="31" t="s">
        <v>472</v>
      </c>
      <c r="O389" s="32"/>
      <c r="P389" s="33" t="str">
        <f t="array" ref="P389">IFERROR(
HYPERLINK(
"https://drive.google.com/file/d/"&amp;
XLOOKUP(O389,'Hoa-Don'!A:A,'Hoa-Don'!D:D)
&amp;"/view",
"🔎"
),
""
)</f>
        <v/>
      </c>
    </row>
    <row r="390" ht="22.5" customHeight="1">
      <c r="A390" s="21">
        <v>389.0</v>
      </c>
      <c r="B390" s="22">
        <v>42827.0</v>
      </c>
      <c r="C390" s="23">
        <v>179.0</v>
      </c>
      <c r="D390" s="24" t="s">
        <v>130</v>
      </c>
      <c r="E390" s="35" t="s">
        <v>18</v>
      </c>
      <c r="F390" s="26"/>
      <c r="G390" s="36" t="s">
        <v>42</v>
      </c>
      <c r="H390" s="28">
        <v>1012.0</v>
      </c>
      <c r="I390" s="28">
        <v>9387.259584414353</v>
      </c>
      <c r="J390" s="29">
        <v>9499906.699427325</v>
      </c>
      <c r="K390" s="29">
        <v>9387.259584414353</v>
      </c>
      <c r="L390" s="30">
        <v>27110.600000000006</v>
      </c>
      <c r="M390" s="29">
        <v>2.544942396892238E8</v>
      </c>
      <c r="N390" s="31" t="s">
        <v>473</v>
      </c>
      <c r="O390" s="32"/>
      <c r="P390" s="33" t="str">
        <f t="array" ref="P390">IFERROR(
HYPERLINK(
"https://drive.google.com/file/d/"&amp;
XLOOKUP(O390,'Hoa-Don'!A:A,'Hoa-Don'!D:D)
&amp;"/view",
"🔎"
),
""
)</f>
        <v/>
      </c>
    </row>
    <row r="391" ht="22.5" customHeight="1">
      <c r="A391" s="21">
        <v>390.0</v>
      </c>
      <c r="B391" s="22">
        <v>42828.0</v>
      </c>
      <c r="C391" s="23">
        <v>180.0</v>
      </c>
      <c r="D391" s="24" t="s">
        <v>130</v>
      </c>
      <c r="E391" s="35" t="s">
        <v>18</v>
      </c>
      <c r="F391" s="26"/>
      <c r="G391" s="36" t="s">
        <v>42</v>
      </c>
      <c r="H391" s="28">
        <v>55.0</v>
      </c>
      <c r="I391" s="28">
        <v>9387.259584414353</v>
      </c>
      <c r="J391" s="29">
        <v>516299.2771427894</v>
      </c>
      <c r="K391" s="29">
        <v>9387.259584414353</v>
      </c>
      <c r="L391" s="30">
        <v>27055.600000000006</v>
      </c>
      <c r="M391" s="29">
        <v>2.53977940412081E8</v>
      </c>
      <c r="N391" s="31" t="s">
        <v>474</v>
      </c>
      <c r="O391" s="32"/>
      <c r="P391" s="33" t="str">
        <f t="array" ref="P391">IFERROR(
HYPERLINK(
"https://drive.google.com/file/d/"&amp;
XLOOKUP(O391,'Hoa-Don'!A:A,'Hoa-Don'!D:D)
&amp;"/view",
"🔎"
),
""
)</f>
        <v/>
      </c>
    </row>
    <row r="392" ht="22.5" customHeight="1">
      <c r="A392" s="21">
        <v>391.0</v>
      </c>
      <c r="B392" s="22">
        <v>42833.0</v>
      </c>
      <c r="C392" s="23">
        <v>181.0</v>
      </c>
      <c r="D392" s="24" t="s">
        <v>130</v>
      </c>
      <c r="E392" s="35" t="s">
        <v>18</v>
      </c>
      <c r="F392" s="26"/>
      <c r="G392" s="36" t="s">
        <v>42</v>
      </c>
      <c r="H392" s="28">
        <v>798.5</v>
      </c>
      <c r="I392" s="28">
        <v>9387.259584414353</v>
      </c>
      <c r="J392" s="29">
        <v>7495726.77815486</v>
      </c>
      <c r="K392" s="29">
        <v>9387.259584414353</v>
      </c>
      <c r="L392" s="30">
        <v>26257.100000000006</v>
      </c>
      <c r="M392" s="29">
        <v>2.4648221363392615E8</v>
      </c>
      <c r="N392" s="31" t="s">
        <v>475</v>
      </c>
      <c r="O392" s="32"/>
      <c r="P392" s="33" t="str">
        <f t="array" ref="P392">IFERROR(
HYPERLINK(
"https://drive.google.com/file/d/"&amp;
XLOOKUP(O392,'Hoa-Don'!A:A,'Hoa-Don'!D:D)
&amp;"/view",
"🔎"
),
""
)</f>
        <v/>
      </c>
    </row>
    <row r="393" ht="22.5" customHeight="1">
      <c r="A393" s="21">
        <v>392.0</v>
      </c>
      <c r="B393" s="22">
        <v>42834.0</v>
      </c>
      <c r="C393" s="23">
        <v>182.0</v>
      </c>
      <c r="D393" s="24" t="s">
        <v>130</v>
      </c>
      <c r="E393" s="25" t="s">
        <v>11</v>
      </c>
      <c r="F393" s="26"/>
      <c r="G393" s="36" t="s">
        <v>42</v>
      </c>
      <c r="H393" s="28">
        <v>102.0</v>
      </c>
      <c r="I393" s="28">
        <v>10765.87545899314</v>
      </c>
      <c r="J393" s="29">
        <v>1098119.2968173001</v>
      </c>
      <c r="K393" s="29">
        <v>10765.87545899314</v>
      </c>
      <c r="L393" s="30">
        <v>49723.09999999999</v>
      </c>
      <c r="M393" s="29">
        <v>5.3531270203506166E8</v>
      </c>
      <c r="N393" s="31" t="s">
        <v>476</v>
      </c>
      <c r="O393" s="32"/>
      <c r="P393" s="33" t="str">
        <f t="array" ref="P393">IFERROR(
HYPERLINK(
"https://drive.google.com/file/d/"&amp;
XLOOKUP(O393,'Hoa-Don'!A:A,'Hoa-Don'!D:D)
&amp;"/view",
"🔎"
),
""
)</f>
        <v/>
      </c>
    </row>
    <row r="394" ht="22.5" customHeight="1">
      <c r="A394" s="21">
        <v>393.0</v>
      </c>
      <c r="B394" s="22">
        <v>42837.0</v>
      </c>
      <c r="C394" s="23">
        <v>184.0</v>
      </c>
      <c r="D394" s="24" t="s">
        <v>63</v>
      </c>
      <c r="E394" s="35" t="s">
        <v>18</v>
      </c>
      <c r="F394" s="26"/>
      <c r="G394" s="36" t="s">
        <v>42</v>
      </c>
      <c r="H394" s="28">
        <v>58.0</v>
      </c>
      <c r="I394" s="28">
        <v>9387.259584414353</v>
      </c>
      <c r="J394" s="29">
        <v>544461.0558960325</v>
      </c>
      <c r="K394" s="29">
        <v>9387.259584414353</v>
      </c>
      <c r="L394" s="30">
        <v>26199.100000000006</v>
      </c>
      <c r="M394" s="29">
        <v>2.459377525780301E8</v>
      </c>
      <c r="N394" s="31" t="s">
        <v>477</v>
      </c>
      <c r="O394" s="32"/>
      <c r="P394" s="33" t="str">
        <f t="array" ref="P394">IFERROR(
HYPERLINK(
"https://drive.google.com/file/d/"&amp;
XLOOKUP(O394,'Hoa-Don'!A:A,'Hoa-Don'!D:D)
&amp;"/view",
"🔎"
),
""
)</f>
        <v/>
      </c>
    </row>
    <row r="395" ht="22.5" customHeight="1">
      <c r="A395" s="21">
        <v>394.0</v>
      </c>
      <c r="B395" s="22">
        <v>42837.0</v>
      </c>
      <c r="C395" s="23">
        <v>184.0</v>
      </c>
      <c r="D395" s="24" t="s">
        <v>63</v>
      </c>
      <c r="E395" s="35" t="s">
        <v>18</v>
      </c>
      <c r="F395" s="26"/>
      <c r="G395" s="36" t="s">
        <v>42</v>
      </c>
      <c r="H395" s="28">
        <v>77.5</v>
      </c>
      <c r="I395" s="28">
        <v>9387.259584414353</v>
      </c>
      <c r="J395" s="29">
        <v>727512.6177921123</v>
      </c>
      <c r="K395" s="29">
        <v>9387.259584414353</v>
      </c>
      <c r="L395" s="30">
        <v>26121.600000000006</v>
      </c>
      <c r="M395" s="29">
        <v>2.45210239960238E8</v>
      </c>
      <c r="N395" s="31" t="s">
        <v>478</v>
      </c>
      <c r="O395" s="32"/>
      <c r="P395" s="33" t="str">
        <f t="array" ref="P395">IFERROR(
HYPERLINK(
"https://drive.google.com/file/d/"&amp;
XLOOKUP(O395,'Hoa-Don'!A:A,'Hoa-Don'!D:D)
&amp;"/view",
"🔎"
),
""
)</f>
        <v/>
      </c>
    </row>
    <row r="396" ht="22.5" customHeight="1">
      <c r="A396" s="21">
        <v>395.0</v>
      </c>
      <c r="B396" s="22">
        <v>42837.0</v>
      </c>
      <c r="C396" s="23">
        <v>184.0</v>
      </c>
      <c r="D396" s="24" t="s">
        <v>63</v>
      </c>
      <c r="E396" s="35" t="s">
        <v>18</v>
      </c>
      <c r="F396" s="26"/>
      <c r="G396" s="36" t="s">
        <v>42</v>
      </c>
      <c r="H396" s="28">
        <v>45.0</v>
      </c>
      <c r="I396" s="28">
        <v>9387.259584414353</v>
      </c>
      <c r="J396" s="29">
        <v>422426.68129864585</v>
      </c>
      <c r="K396" s="29">
        <v>9387.259584414353</v>
      </c>
      <c r="L396" s="30">
        <v>26076.600000000006</v>
      </c>
      <c r="M396" s="29">
        <v>2.4478781327893937E8</v>
      </c>
      <c r="N396" s="31" t="s">
        <v>479</v>
      </c>
      <c r="O396" s="32"/>
      <c r="P396" s="33" t="str">
        <f t="array" ref="P396">IFERROR(
HYPERLINK(
"https://drive.google.com/file/d/"&amp;
XLOOKUP(O396,'Hoa-Don'!A:A,'Hoa-Don'!D:D)
&amp;"/view",
"🔎"
),
""
)</f>
        <v/>
      </c>
    </row>
    <row r="397" ht="22.5" customHeight="1">
      <c r="A397" s="21">
        <v>396.0</v>
      </c>
      <c r="B397" s="22">
        <v>42838.0</v>
      </c>
      <c r="C397" s="23">
        <v>185.0</v>
      </c>
      <c r="D397" s="24" t="s">
        <v>63</v>
      </c>
      <c r="E397" s="35" t="s">
        <v>18</v>
      </c>
      <c r="F397" s="26"/>
      <c r="G397" s="36" t="s">
        <v>42</v>
      </c>
      <c r="H397" s="28">
        <v>785.0</v>
      </c>
      <c r="I397" s="28">
        <v>9387.259584414353</v>
      </c>
      <c r="J397" s="29">
        <v>7368998.773765267</v>
      </c>
      <c r="K397" s="29">
        <v>9387.259584414353</v>
      </c>
      <c r="L397" s="30">
        <v>25291.600000000006</v>
      </c>
      <c r="M397" s="29">
        <v>2.374188145051741E8</v>
      </c>
      <c r="N397" s="31" t="s">
        <v>480</v>
      </c>
      <c r="O397" s="32"/>
      <c r="P397" s="33" t="str">
        <f t="array" ref="P397">IFERROR(
HYPERLINK(
"https://drive.google.com/file/d/"&amp;
XLOOKUP(O397,'Hoa-Don'!A:A,'Hoa-Don'!D:D)
&amp;"/view",
"🔎"
),
""
)</f>
        <v/>
      </c>
    </row>
    <row r="398" ht="22.5" customHeight="1">
      <c r="A398" s="21">
        <v>397.0</v>
      </c>
      <c r="B398" s="22">
        <v>42840.0</v>
      </c>
      <c r="C398" s="23">
        <v>186.0</v>
      </c>
      <c r="D398" s="24" t="s">
        <v>130</v>
      </c>
      <c r="E398" s="25" t="s">
        <v>11</v>
      </c>
      <c r="F398" s="26"/>
      <c r="G398" s="36" t="s">
        <v>42</v>
      </c>
      <c r="H398" s="28">
        <v>1515.0</v>
      </c>
      <c r="I398" s="28">
        <v>10765.87545899314</v>
      </c>
      <c r="J398" s="29">
        <v>1.6310301320374606E7</v>
      </c>
      <c r="K398" s="29">
        <v>10765.87545899314</v>
      </c>
      <c r="L398" s="30">
        <v>48208.09999999999</v>
      </c>
      <c r="M398" s="29">
        <v>5.1900240071468705E8</v>
      </c>
      <c r="N398" s="31" t="s">
        <v>481</v>
      </c>
      <c r="O398" s="32"/>
      <c r="P398" s="33" t="str">
        <f t="array" ref="P398">IFERROR(
HYPERLINK(
"https://drive.google.com/file/d/"&amp;
XLOOKUP(O398,'Hoa-Don'!A:A,'Hoa-Don'!D:D)
&amp;"/view",
"🔎"
),
""
)</f>
        <v/>
      </c>
    </row>
    <row r="399" ht="22.5" customHeight="1">
      <c r="A399" s="21">
        <v>398.0</v>
      </c>
      <c r="B399" s="22">
        <v>42842.0</v>
      </c>
      <c r="C399" s="23">
        <v>331.0</v>
      </c>
      <c r="D399" s="24" t="s">
        <v>393</v>
      </c>
      <c r="E399" s="25" t="s">
        <v>11</v>
      </c>
      <c r="F399" s="26"/>
      <c r="G399" s="27" t="s">
        <v>38</v>
      </c>
      <c r="H399" s="28">
        <v>1636.0</v>
      </c>
      <c r="I399" s="28">
        <v>10000.0</v>
      </c>
      <c r="J399" s="29">
        <v>1.636E7</v>
      </c>
      <c r="K399" s="29">
        <v>10740.737634237295</v>
      </c>
      <c r="L399" s="30">
        <v>49844.09999999999</v>
      </c>
      <c r="M399" s="29">
        <v>5.3536240071468705E8</v>
      </c>
      <c r="N399" s="31" t="s">
        <v>482</v>
      </c>
      <c r="O399" s="32"/>
      <c r="P399" s="33" t="str">
        <f t="array" ref="P399">IFERROR(
HYPERLINK(
"https://drive.google.com/file/d/"&amp;
XLOOKUP(O399,'Hoa-Don'!A:A,'Hoa-Don'!D:D)
&amp;"/view",
"🔎"
),
""
)</f>
        <v/>
      </c>
    </row>
    <row r="400" ht="22.5" customHeight="1">
      <c r="A400" s="21">
        <v>399.0</v>
      </c>
      <c r="B400" s="22">
        <v>42842.0</v>
      </c>
      <c r="C400" s="23">
        <v>187.0</v>
      </c>
      <c r="D400" s="24" t="s">
        <v>130</v>
      </c>
      <c r="E400" s="35" t="s">
        <v>18</v>
      </c>
      <c r="F400" s="26"/>
      <c r="G400" s="36" t="s">
        <v>42</v>
      </c>
      <c r="H400" s="28">
        <v>1510.0</v>
      </c>
      <c r="I400" s="28">
        <v>9387.259584414353</v>
      </c>
      <c r="J400" s="29">
        <v>1.4174761972465672E7</v>
      </c>
      <c r="K400" s="29">
        <v>9387.259584414353</v>
      </c>
      <c r="L400" s="30">
        <v>23781.600000000006</v>
      </c>
      <c r="M400" s="29">
        <v>2.232440525327084E8</v>
      </c>
      <c r="N400" s="31" t="s">
        <v>483</v>
      </c>
      <c r="O400" s="32"/>
      <c r="P400" s="33" t="str">
        <f t="array" ref="P400">IFERROR(
HYPERLINK(
"https://drive.google.com/file/d/"&amp;
XLOOKUP(O400,'Hoa-Don'!A:A,'Hoa-Don'!D:D)
&amp;"/view",
"🔎"
),
""
)</f>
        <v/>
      </c>
    </row>
    <row r="401" ht="22.5" customHeight="1">
      <c r="A401" s="21">
        <v>400.0</v>
      </c>
      <c r="B401" s="22">
        <v>42843.0</v>
      </c>
      <c r="C401" s="23">
        <v>332.0</v>
      </c>
      <c r="D401" s="24" t="s">
        <v>393</v>
      </c>
      <c r="E401" s="25" t="s">
        <v>11</v>
      </c>
      <c r="F401" s="26"/>
      <c r="G401" s="27" t="s">
        <v>38</v>
      </c>
      <c r="H401" s="28">
        <v>841.0</v>
      </c>
      <c r="I401" s="28">
        <v>10000.0</v>
      </c>
      <c r="J401" s="29">
        <v>8410000.0</v>
      </c>
      <c r="K401" s="29">
        <v>10728.446835750294</v>
      </c>
      <c r="L401" s="30">
        <v>50685.09999999999</v>
      </c>
      <c r="M401" s="29">
        <v>5.437724007146871E8</v>
      </c>
      <c r="N401" s="31" t="s">
        <v>484</v>
      </c>
      <c r="O401" s="32"/>
      <c r="P401" s="33" t="str">
        <f t="array" ref="P401">IFERROR(
HYPERLINK(
"https://drive.google.com/file/d/"&amp;
XLOOKUP(O401,'Hoa-Don'!A:A,'Hoa-Don'!D:D)
&amp;"/view",
"🔎"
),
""
)</f>
        <v/>
      </c>
    </row>
    <row r="402" ht="22.5" customHeight="1">
      <c r="A402" s="21">
        <v>401.0</v>
      </c>
      <c r="B402" s="22">
        <v>42849.0</v>
      </c>
      <c r="C402" s="23">
        <v>188.0</v>
      </c>
      <c r="D402" s="24" t="s">
        <v>130</v>
      </c>
      <c r="E402" s="25" t="s">
        <v>11</v>
      </c>
      <c r="F402" s="26"/>
      <c r="G402" s="36" t="s">
        <v>42</v>
      </c>
      <c r="H402" s="28">
        <v>1515.0</v>
      </c>
      <c r="I402" s="28">
        <v>10728.446835750294</v>
      </c>
      <c r="J402" s="29">
        <v>1.6253596956161695E7</v>
      </c>
      <c r="K402" s="29">
        <v>10728.446835750294</v>
      </c>
      <c r="L402" s="30">
        <v>49170.09999999999</v>
      </c>
      <c r="M402" s="29">
        <v>5.2751880375852543E8</v>
      </c>
      <c r="N402" s="31" t="s">
        <v>485</v>
      </c>
      <c r="O402" s="32"/>
      <c r="P402" s="33" t="str">
        <f t="array" ref="P402">IFERROR(
HYPERLINK(
"https://drive.google.com/file/d/"&amp;
XLOOKUP(O402,'Hoa-Don'!A:A,'Hoa-Don'!D:D)
&amp;"/view",
"🔎"
),
""
)</f>
        <v/>
      </c>
    </row>
    <row r="403" ht="22.5" customHeight="1">
      <c r="A403" s="21">
        <v>402.0</v>
      </c>
      <c r="B403" s="22">
        <v>42850.0</v>
      </c>
      <c r="C403" s="23">
        <v>189.0</v>
      </c>
      <c r="D403" s="24" t="s">
        <v>37</v>
      </c>
      <c r="E403" s="25" t="s">
        <v>11</v>
      </c>
      <c r="F403" s="26"/>
      <c r="G403" s="36" t="s">
        <v>42</v>
      </c>
      <c r="H403" s="28">
        <v>1400.0</v>
      </c>
      <c r="I403" s="28">
        <v>10728.446835750294</v>
      </c>
      <c r="J403" s="29">
        <v>1.501982557005041E7</v>
      </c>
      <c r="K403" s="29">
        <v>10728.446835750294</v>
      </c>
      <c r="L403" s="30">
        <v>47770.09999999999</v>
      </c>
      <c r="M403" s="29">
        <v>5.12498978188475E8</v>
      </c>
      <c r="N403" s="31" t="s">
        <v>486</v>
      </c>
      <c r="O403" s="32"/>
      <c r="P403" s="33" t="str">
        <f t="array" ref="P403">IFERROR(
HYPERLINK(
"https://drive.google.com/file/d/"&amp;
XLOOKUP(O403,'Hoa-Don'!A:A,'Hoa-Don'!D:D)
&amp;"/view",
"🔎"
),
""
)</f>
        <v/>
      </c>
    </row>
    <row r="404" ht="22.5" customHeight="1">
      <c r="A404" s="21">
        <v>403.0</v>
      </c>
      <c r="B404" s="22">
        <v>42851.0</v>
      </c>
      <c r="C404" s="23">
        <v>346.0</v>
      </c>
      <c r="D404" s="24" t="s">
        <v>393</v>
      </c>
      <c r="E404" s="25" t="s">
        <v>11</v>
      </c>
      <c r="F404" s="26"/>
      <c r="G404" s="27" t="s">
        <v>38</v>
      </c>
      <c r="H404" s="28">
        <v>843.0</v>
      </c>
      <c r="I404" s="28">
        <v>12000.0</v>
      </c>
      <c r="J404" s="29">
        <v>1.0116E7</v>
      </c>
      <c r="K404" s="29">
        <v>10750.496845263418</v>
      </c>
      <c r="L404" s="30">
        <v>48613.09999999999</v>
      </c>
      <c r="M404" s="29">
        <v>5.22614978188475E8</v>
      </c>
      <c r="N404" s="31" t="s">
        <v>487</v>
      </c>
      <c r="O404" s="32"/>
      <c r="P404" s="33" t="str">
        <f t="array" ref="P404">IFERROR(
HYPERLINK(
"https://drive.google.com/file/d/"&amp;
XLOOKUP(O404,'Hoa-Don'!A:A,'Hoa-Don'!D:D)
&amp;"/view",
"🔎"
),
""
)</f>
        <v/>
      </c>
    </row>
    <row r="405" ht="22.5" customHeight="1">
      <c r="A405" s="21">
        <v>404.0</v>
      </c>
      <c r="B405" s="22">
        <v>42851.0</v>
      </c>
      <c r="C405" s="23">
        <v>190.0</v>
      </c>
      <c r="D405" s="24" t="s">
        <v>37</v>
      </c>
      <c r="E405" s="25" t="s">
        <v>11</v>
      </c>
      <c r="F405" s="26"/>
      <c r="G405" s="36" t="s">
        <v>42</v>
      </c>
      <c r="H405" s="28">
        <v>1520.0</v>
      </c>
      <c r="I405" s="28">
        <v>10750.496845263418</v>
      </c>
      <c r="J405" s="29">
        <v>1.6340755204800395E7</v>
      </c>
      <c r="K405" s="29">
        <v>10750.496845263418</v>
      </c>
      <c r="L405" s="30">
        <v>47093.09999999999</v>
      </c>
      <c r="M405" s="29">
        <v>5.062742229836746E8</v>
      </c>
      <c r="N405" s="31" t="s">
        <v>488</v>
      </c>
      <c r="O405" s="32"/>
      <c r="P405" s="33" t="str">
        <f t="array" ref="P405">IFERROR(
HYPERLINK(
"https://drive.google.com/file/d/"&amp;
XLOOKUP(O405,'Hoa-Don'!A:A,'Hoa-Don'!D:D)
&amp;"/view",
"🔎"
),
""
)</f>
        <v/>
      </c>
    </row>
    <row r="406" ht="22.5" customHeight="1">
      <c r="A406" s="21">
        <v>405.0</v>
      </c>
      <c r="B406" s="22">
        <v>42854.0</v>
      </c>
      <c r="C406" s="23">
        <v>191.0</v>
      </c>
      <c r="D406" s="24" t="s">
        <v>130</v>
      </c>
      <c r="E406" s="25" t="s">
        <v>11</v>
      </c>
      <c r="F406" s="26"/>
      <c r="G406" s="36" t="s">
        <v>42</v>
      </c>
      <c r="H406" s="28">
        <v>105.0</v>
      </c>
      <c r="I406" s="28">
        <v>10750.496845263418</v>
      </c>
      <c r="J406" s="29">
        <v>1128802.1687526589</v>
      </c>
      <c r="K406" s="29">
        <v>10750.496845263418</v>
      </c>
      <c r="L406" s="30">
        <v>46988.09999999999</v>
      </c>
      <c r="M406" s="29">
        <v>5.051454208149219E8</v>
      </c>
      <c r="N406" s="31" t="s">
        <v>489</v>
      </c>
      <c r="O406" s="32"/>
      <c r="P406" s="33" t="str">
        <f t="array" ref="P406">IFERROR(
HYPERLINK(
"https://drive.google.com/file/d/"&amp;
XLOOKUP(O406,'Hoa-Don'!A:A,'Hoa-Don'!D:D)
&amp;"/view",
"🔎"
),
""
)</f>
        <v/>
      </c>
    </row>
    <row r="407" ht="22.5" customHeight="1">
      <c r="A407" s="21">
        <v>406.0</v>
      </c>
      <c r="B407" s="22">
        <v>42860.0</v>
      </c>
      <c r="C407" s="23">
        <v>446.0</v>
      </c>
      <c r="D407" s="24" t="s">
        <v>402</v>
      </c>
      <c r="E407" s="35" t="s">
        <v>18</v>
      </c>
      <c r="F407" s="26"/>
      <c r="G407" s="27" t="s">
        <v>38</v>
      </c>
      <c r="H407" s="28">
        <v>14012.0</v>
      </c>
      <c r="I407" s="28">
        <v>10090.91</v>
      </c>
      <c r="J407" s="29">
        <v>1.4139383092E8</v>
      </c>
      <c r="K407" s="29">
        <v>9648.138400488662</v>
      </c>
      <c r="L407" s="30">
        <v>37793.600000000006</v>
      </c>
      <c r="M407" s="29">
        <v>3.6463788345270836E8</v>
      </c>
      <c r="N407" s="31" t="s">
        <v>490</v>
      </c>
      <c r="O407" s="32"/>
      <c r="P407" s="33" t="str">
        <f t="array" ref="P407">IFERROR(
HYPERLINK(
"https://drive.google.com/file/d/"&amp;
XLOOKUP(O407,'Hoa-Don'!A:A,'Hoa-Don'!D:D)
&amp;"/view",
"🔎"
),
""
)</f>
        <v/>
      </c>
    </row>
    <row r="408" ht="22.5" customHeight="1">
      <c r="A408" s="21">
        <v>407.0</v>
      </c>
      <c r="B408" s="22">
        <v>42873.0</v>
      </c>
      <c r="C408" s="23">
        <v>192.0</v>
      </c>
      <c r="D408" s="24" t="s">
        <v>140</v>
      </c>
      <c r="E408" s="25" t="s">
        <v>11</v>
      </c>
      <c r="F408" s="26"/>
      <c r="G408" s="36" t="s">
        <v>42</v>
      </c>
      <c r="H408" s="28">
        <v>1400.0</v>
      </c>
      <c r="I408" s="28">
        <v>10750.496845263418</v>
      </c>
      <c r="J408" s="29">
        <v>1.5050695583368786E7</v>
      </c>
      <c r="K408" s="29">
        <v>10750.496845263418</v>
      </c>
      <c r="L408" s="30">
        <v>45588.09999999999</v>
      </c>
      <c r="M408" s="29">
        <v>4.9009472523155314E8</v>
      </c>
      <c r="N408" s="31" t="s">
        <v>491</v>
      </c>
      <c r="O408" s="32"/>
      <c r="P408" s="33" t="str">
        <f t="array" ref="P408">IFERROR(
HYPERLINK(
"https://drive.google.com/file/d/"&amp;
XLOOKUP(O408,'Hoa-Don'!A:A,'Hoa-Don'!D:D)
&amp;"/view",
"🔎"
),
""
)</f>
        <v/>
      </c>
    </row>
    <row r="409" ht="22.5" customHeight="1">
      <c r="A409" s="21">
        <v>408.0</v>
      </c>
      <c r="B409" s="22">
        <v>42874.0</v>
      </c>
      <c r="C409" s="23">
        <v>194.0</v>
      </c>
      <c r="D409" s="24" t="s">
        <v>140</v>
      </c>
      <c r="E409" s="35" t="s">
        <v>18</v>
      </c>
      <c r="F409" s="26"/>
      <c r="G409" s="36" t="s">
        <v>42</v>
      </c>
      <c r="H409" s="28">
        <v>1253.0</v>
      </c>
      <c r="I409" s="28">
        <v>9648.138400488662</v>
      </c>
      <c r="J409" s="29">
        <v>1.2089117415812293E7</v>
      </c>
      <c r="K409" s="29">
        <v>9648.138400488662</v>
      </c>
      <c r="L409" s="30">
        <v>36540.600000000006</v>
      </c>
      <c r="M409" s="29">
        <v>3.5254876603689605E8</v>
      </c>
      <c r="N409" s="31" t="s">
        <v>492</v>
      </c>
      <c r="O409" s="32"/>
      <c r="P409" s="33" t="str">
        <f t="array" ref="P409">IFERROR(
HYPERLINK(
"https://drive.google.com/file/d/"&amp;
XLOOKUP(O409,'Hoa-Don'!A:A,'Hoa-Don'!D:D)
&amp;"/view",
"🔎"
),
""
)</f>
        <v/>
      </c>
    </row>
    <row r="410" ht="22.5" customHeight="1">
      <c r="A410" s="21">
        <v>409.0</v>
      </c>
      <c r="B410" s="22">
        <v>42875.0</v>
      </c>
      <c r="C410" s="23">
        <v>195.0</v>
      </c>
      <c r="D410" s="24" t="s">
        <v>130</v>
      </c>
      <c r="E410" s="37" t="s">
        <v>16</v>
      </c>
      <c r="F410" s="26"/>
      <c r="G410" s="36" t="s">
        <v>42</v>
      </c>
      <c r="H410" s="28">
        <v>112.0</v>
      </c>
      <c r="I410" s="28">
        <v>11276.651961429316</v>
      </c>
      <c r="J410" s="29">
        <v>1262985.0196800833</v>
      </c>
      <c r="K410" s="29">
        <v>11276.651961429316</v>
      </c>
      <c r="L410" s="30">
        <v>9353.0</v>
      </c>
      <c r="M410" s="29">
        <v>1.0547052579524839E8</v>
      </c>
      <c r="N410" s="31" t="s">
        <v>493</v>
      </c>
      <c r="O410" s="32"/>
      <c r="P410" s="33" t="str">
        <f t="array" ref="P410">IFERROR(
HYPERLINK(
"https://drive.google.com/file/d/"&amp;
XLOOKUP(O410,'Hoa-Don'!A:A,'Hoa-Don'!D:D)
&amp;"/view",
"🔎"
),
""
)</f>
        <v/>
      </c>
    </row>
    <row r="411" ht="22.5" customHeight="1">
      <c r="A411" s="21">
        <v>410.0</v>
      </c>
      <c r="B411" s="22">
        <v>42877.0</v>
      </c>
      <c r="C411" s="23">
        <v>196.0</v>
      </c>
      <c r="D411" s="24" t="s">
        <v>130</v>
      </c>
      <c r="E411" s="25" t="s">
        <v>11</v>
      </c>
      <c r="F411" s="26"/>
      <c r="G411" s="36" t="s">
        <v>42</v>
      </c>
      <c r="H411" s="28">
        <v>385.0</v>
      </c>
      <c r="I411" s="28">
        <v>10750.496845263418</v>
      </c>
      <c r="J411" s="29">
        <v>4138941.285426416</v>
      </c>
      <c r="K411" s="29">
        <v>10750.496845263418</v>
      </c>
      <c r="L411" s="30">
        <v>45203.09999999999</v>
      </c>
      <c r="M411" s="29">
        <v>4.8595578394612676E8</v>
      </c>
      <c r="N411" s="31" t="s">
        <v>494</v>
      </c>
      <c r="O411" s="32"/>
      <c r="P411" s="33" t="str">
        <f t="array" ref="P411">IFERROR(
HYPERLINK(
"https://drive.google.com/file/d/"&amp;
XLOOKUP(O411,'Hoa-Don'!A:A,'Hoa-Don'!D:D)
&amp;"/view",
"🔎"
),
""
)</f>
        <v/>
      </c>
    </row>
    <row r="412" ht="22.5" customHeight="1">
      <c r="A412" s="21">
        <v>411.0</v>
      </c>
      <c r="B412" s="22">
        <v>42877.0</v>
      </c>
      <c r="C412" s="23">
        <v>196.0</v>
      </c>
      <c r="D412" s="24" t="s">
        <v>130</v>
      </c>
      <c r="E412" s="35" t="s">
        <v>18</v>
      </c>
      <c r="F412" s="26"/>
      <c r="G412" s="36" t="s">
        <v>42</v>
      </c>
      <c r="H412" s="28">
        <v>445.0</v>
      </c>
      <c r="I412" s="28">
        <v>9648.138400488662</v>
      </c>
      <c r="J412" s="29">
        <v>4293421.588217455</v>
      </c>
      <c r="K412" s="29">
        <v>9648.138400488662</v>
      </c>
      <c r="L412" s="30">
        <v>36095.600000000006</v>
      </c>
      <c r="M412" s="29">
        <v>3.482553444486786E8</v>
      </c>
      <c r="N412" s="31" t="s">
        <v>495</v>
      </c>
      <c r="O412" s="32"/>
      <c r="P412" s="33" t="str">
        <f t="array" ref="P412">IFERROR(
HYPERLINK(
"https://drive.google.com/file/d/"&amp;
XLOOKUP(O412,'Hoa-Don'!A:A,'Hoa-Don'!D:D)
&amp;"/view",
"🔎"
),
""
)</f>
        <v/>
      </c>
    </row>
    <row r="413" ht="22.5" customHeight="1">
      <c r="A413" s="21">
        <v>412.0</v>
      </c>
      <c r="B413" s="22">
        <v>42881.0</v>
      </c>
      <c r="C413" s="23">
        <v>197.0</v>
      </c>
      <c r="D413" s="24" t="s">
        <v>63</v>
      </c>
      <c r="E413" s="35" t="s">
        <v>18</v>
      </c>
      <c r="F413" s="26"/>
      <c r="G413" s="36" t="s">
        <v>42</v>
      </c>
      <c r="H413" s="28">
        <v>608.0</v>
      </c>
      <c r="I413" s="28">
        <v>9648.138400488662</v>
      </c>
      <c r="J413" s="29">
        <v>5866068.147497106</v>
      </c>
      <c r="K413" s="29">
        <v>9648.138400488662</v>
      </c>
      <c r="L413" s="30">
        <v>35487.600000000006</v>
      </c>
      <c r="M413" s="29">
        <v>3.423892763011815E8</v>
      </c>
      <c r="N413" s="31" t="s">
        <v>496</v>
      </c>
      <c r="O413" s="32"/>
      <c r="P413" s="33" t="str">
        <f t="array" ref="P413">IFERROR(
HYPERLINK(
"https://drive.google.com/file/d/"&amp;
XLOOKUP(O413,'Hoa-Don'!A:A,'Hoa-Don'!D:D)
&amp;"/view",
"🔎"
),
""
)</f>
        <v/>
      </c>
    </row>
    <row r="414" ht="22.5" customHeight="1">
      <c r="A414" s="21">
        <v>413.0</v>
      </c>
      <c r="B414" s="22">
        <v>42881.0</v>
      </c>
      <c r="C414" s="23">
        <v>197.0</v>
      </c>
      <c r="D414" s="24" t="s">
        <v>63</v>
      </c>
      <c r="E414" s="35" t="s">
        <v>18</v>
      </c>
      <c r="F414" s="26"/>
      <c r="G414" s="36" t="s">
        <v>42</v>
      </c>
      <c r="H414" s="28">
        <v>116.0</v>
      </c>
      <c r="I414" s="28">
        <v>9648.138400488662</v>
      </c>
      <c r="J414" s="29">
        <v>1119184.0544566847</v>
      </c>
      <c r="K414" s="29">
        <v>9648.138400488662</v>
      </c>
      <c r="L414" s="30">
        <v>35371.600000000006</v>
      </c>
      <c r="M414" s="29">
        <v>3.4127009224672484E8</v>
      </c>
      <c r="N414" s="31" t="s">
        <v>497</v>
      </c>
      <c r="O414" s="32"/>
      <c r="P414" s="33" t="str">
        <f t="array" ref="P414">IFERROR(
HYPERLINK(
"https://drive.google.com/file/d/"&amp;
XLOOKUP(O414,'Hoa-Don'!A:A,'Hoa-Don'!D:D)
&amp;"/view",
"🔎"
),
""
)</f>
        <v/>
      </c>
    </row>
    <row r="415" ht="22.5" customHeight="1">
      <c r="A415" s="21">
        <v>414.0</v>
      </c>
      <c r="B415" s="22">
        <v>42882.0</v>
      </c>
      <c r="C415" s="23">
        <v>198.0</v>
      </c>
      <c r="D415" s="24" t="s">
        <v>63</v>
      </c>
      <c r="E415" s="35" t="s">
        <v>18</v>
      </c>
      <c r="F415" s="26"/>
      <c r="G415" s="36" t="s">
        <v>42</v>
      </c>
      <c r="H415" s="28">
        <v>807.5</v>
      </c>
      <c r="I415" s="28">
        <v>9648.138400488662</v>
      </c>
      <c r="J415" s="29">
        <v>7790871.758394594</v>
      </c>
      <c r="K415" s="29">
        <v>9648.138400488662</v>
      </c>
      <c r="L415" s="30">
        <v>34564.100000000006</v>
      </c>
      <c r="M415" s="29">
        <v>3.3347922048833025E8</v>
      </c>
      <c r="N415" s="31" t="s">
        <v>498</v>
      </c>
      <c r="O415" s="32"/>
      <c r="P415" s="33" t="str">
        <f t="array" ref="P415">IFERROR(
HYPERLINK(
"https://drive.google.com/file/d/"&amp;
XLOOKUP(O415,'Hoa-Don'!A:A,'Hoa-Don'!D:D)
&amp;"/view",
"🔎"
),
""
)</f>
        <v/>
      </c>
    </row>
    <row r="416" ht="22.5" customHeight="1">
      <c r="A416" s="21">
        <v>415.0</v>
      </c>
      <c r="B416" s="22">
        <v>42888.0</v>
      </c>
      <c r="C416" s="23">
        <v>6722.0</v>
      </c>
      <c r="D416" s="24" t="s">
        <v>329</v>
      </c>
      <c r="E416" s="38" t="s">
        <v>22</v>
      </c>
      <c r="F416" s="26"/>
      <c r="G416" s="27" t="s">
        <v>38</v>
      </c>
      <c r="H416" s="28">
        <v>964.0</v>
      </c>
      <c r="I416" s="28">
        <v>14545.0</v>
      </c>
      <c r="J416" s="29">
        <v>1.402138E7</v>
      </c>
      <c r="K416" s="29">
        <v>14545.0</v>
      </c>
      <c r="L416" s="30">
        <v>964.0</v>
      </c>
      <c r="M416" s="29">
        <v>1.402138E7</v>
      </c>
      <c r="N416" s="31" t="s">
        <v>499</v>
      </c>
      <c r="O416" s="32"/>
      <c r="P416" s="33" t="str">
        <f t="array" ref="P416">IFERROR(
HYPERLINK(
"https://drive.google.com/file/d/"&amp;
XLOOKUP(O416,'Hoa-Don'!A:A,'Hoa-Don'!D:D)
&amp;"/view",
"🔎"
),
""
)</f>
        <v/>
      </c>
    </row>
    <row r="417" ht="22.5" customHeight="1">
      <c r="A417" s="21">
        <v>416.0</v>
      </c>
      <c r="B417" s="22">
        <v>42892.0</v>
      </c>
      <c r="C417" s="23">
        <v>4023.0</v>
      </c>
      <c r="D417" s="24" t="s">
        <v>71</v>
      </c>
      <c r="E417" s="25" t="s">
        <v>11</v>
      </c>
      <c r="F417" s="26"/>
      <c r="G417" s="27" t="s">
        <v>38</v>
      </c>
      <c r="H417" s="28">
        <v>404.0</v>
      </c>
      <c r="I417" s="28">
        <v>13272.73</v>
      </c>
      <c r="J417" s="29">
        <v>5362182.92</v>
      </c>
      <c r="K417" s="29">
        <v>10772.839467234857</v>
      </c>
      <c r="L417" s="30">
        <v>45607.09999999999</v>
      </c>
      <c r="M417" s="29">
        <v>4.913179668661268E8</v>
      </c>
      <c r="N417" s="31" t="s">
        <v>500</v>
      </c>
      <c r="O417" s="32"/>
      <c r="P417" s="33" t="str">
        <f t="array" ref="P417">IFERROR(
HYPERLINK(
"https://drive.google.com/file/d/"&amp;
XLOOKUP(O417,'Hoa-Don'!A:A,'Hoa-Don'!D:D)
&amp;"/view",
"🔎"
),
""
)</f>
        <v/>
      </c>
    </row>
    <row r="418" ht="22.5" customHeight="1">
      <c r="A418" s="21">
        <v>417.0</v>
      </c>
      <c r="B418" s="22">
        <v>42892.0</v>
      </c>
      <c r="C418" s="23">
        <v>4023.0</v>
      </c>
      <c r="D418" s="24" t="s">
        <v>71</v>
      </c>
      <c r="E418" s="25" t="s">
        <v>11</v>
      </c>
      <c r="F418" s="26"/>
      <c r="G418" s="27" t="s">
        <v>38</v>
      </c>
      <c r="H418" s="28">
        <v>701.0</v>
      </c>
      <c r="I418" s="28">
        <v>12090.91</v>
      </c>
      <c r="J418" s="29">
        <v>8475727.91</v>
      </c>
      <c r="K418" s="29">
        <v>10792.792076896416</v>
      </c>
      <c r="L418" s="30">
        <v>46308.09999999999</v>
      </c>
      <c r="M418" s="29">
        <v>4.997936947761268E8</v>
      </c>
      <c r="N418" s="31" t="s">
        <v>501</v>
      </c>
      <c r="O418" s="32"/>
      <c r="P418" s="33" t="str">
        <f t="array" ref="P418">IFERROR(
HYPERLINK(
"https://drive.google.com/file/d/"&amp;
XLOOKUP(O418,'Hoa-Don'!A:A,'Hoa-Don'!D:D)
&amp;"/view",
"🔎"
),
""
)</f>
        <v/>
      </c>
    </row>
    <row r="419" ht="22.5" customHeight="1">
      <c r="A419" s="21">
        <v>418.0</v>
      </c>
      <c r="B419" s="22">
        <v>42903.0</v>
      </c>
      <c r="C419" s="23">
        <v>3238.0</v>
      </c>
      <c r="D419" s="24" t="s">
        <v>86</v>
      </c>
      <c r="E419" s="35" t="s">
        <v>18</v>
      </c>
      <c r="F419" s="26"/>
      <c r="G419" s="27" t="s">
        <v>38</v>
      </c>
      <c r="H419" s="28">
        <v>4670.0</v>
      </c>
      <c r="I419" s="28">
        <v>11090.91</v>
      </c>
      <c r="J419" s="29">
        <v>5.17945497E7</v>
      </c>
      <c r="K419" s="29">
        <v>9819.87021974074</v>
      </c>
      <c r="L419" s="30">
        <v>39234.100000000006</v>
      </c>
      <c r="M419" s="29">
        <v>3.8527377018833023E8</v>
      </c>
      <c r="N419" s="31" t="s">
        <v>502</v>
      </c>
      <c r="O419" s="32"/>
      <c r="P419" s="33" t="str">
        <f t="array" ref="P419">IFERROR(
HYPERLINK(
"https://drive.google.com/file/d/"&amp;
XLOOKUP(O419,'Hoa-Don'!A:A,'Hoa-Don'!D:D)
&amp;"/view",
"🔎"
),
""
)</f>
        <v/>
      </c>
    </row>
    <row r="420" ht="22.5" customHeight="1">
      <c r="A420" s="21">
        <v>419.0</v>
      </c>
      <c r="B420" s="22">
        <v>42903.0</v>
      </c>
      <c r="C420" s="23">
        <v>199.0</v>
      </c>
      <c r="D420" s="24" t="s">
        <v>63</v>
      </c>
      <c r="E420" s="35" t="s">
        <v>18</v>
      </c>
      <c r="F420" s="26"/>
      <c r="G420" s="36" t="s">
        <v>42</v>
      </c>
      <c r="H420" s="28">
        <v>487.5</v>
      </c>
      <c r="I420" s="28">
        <v>9819.87021974074</v>
      </c>
      <c r="J420" s="29">
        <v>4787186.732123611</v>
      </c>
      <c r="K420" s="29">
        <v>9819.87021974074</v>
      </c>
      <c r="L420" s="30">
        <v>38746.600000000006</v>
      </c>
      <c r="M420" s="29">
        <v>3.804865834562066E8</v>
      </c>
      <c r="N420" s="31" t="s">
        <v>503</v>
      </c>
      <c r="O420" s="32"/>
      <c r="P420" s="33" t="str">
        <f t="array" ref="P420">IFERROR(
HYPERLINK(
"https://drive.google.com/file/d/"&amp;
XLOOKUP(O420,'Hoa-Don'!A:A,'Hoa-Don'!D:D)
&amp;"/view",
"🔎"
),
""
)</f>
        <v/>
      </c>
    </row>
    <row r="421" ht="22.5" customHeight="1">
      <c r="A421" s="21">
        <v>420.0</v>
      </c>
      <c r="B421" s="22">
        <v>42904.0</v>
      </c>
      <c r="C421" s="23">
        <v>201.0</v>
      </c>
      <c r="D421" s="24" t="s">
        <v>93</v>
      </c>
      <c r="E421" s="38" t="s">
        <v>22</v>
      </c>
      <c r="F421" s="26"/>
      <c r="G421" s="36" t="s">
        <v>42</v>
      </c>
      <c r="H421" s="28">
        <v>964.0</v>
      </c>
      <c r="I421" s="28">
        <v>14545.0</v>
      </c>
      <c r="J421" s="29">
        <v>1.402138E7</v>
      </c>
      <c r="K421" s="29">
        <v>0.0</v>
      </c>
      <c r="L421" s="30">
        <v>0.0</v>
      </c>
      <c r="M421" s="29">
        <v>0.0</v>
      </c>
      <c r="N421" s="31" t="s">
        <v>504</v>
      </c>
      <c r="O421" s="32"/>
      <c r="P421" s="33" t="str">
        <f t="array" ref="P421">IFERROR(
HYPERLINK(
"https://drive.google.com/file/d/"&amp;
XLOOKUP(O421,'Hoa-Don'!A:A,'Hoa-Don'!D:D)
&amp;"/view",
"🔎"
),
""
)</f>
        <v/>
      </c>
    </row>
    <row r="422" ht="22.5" customHeight="1">
      <c r="A422" s="21">
        <v>421.0</v>
      </c>
      <c r="B422" s="22">
        <v>42904.0</v>
      </c>
      <c r="C422" s="23">
        <v>201.0</v>
      </c>
      <c r="D422" s="24" t="s">
        <v>93</v>
      </c>
      <c r="E422" s="25" t="s">
        <v>11</v>
      </c>
      <c r="F422" s="26"/>
      <c r="G422" s="36" t="s">
        <v>42</v>
      </c>
      <c r="H422" s="28">
        <v>8000.0</v>
      </c>
      <c r="I422" s="28">
        <v>10792.792076896416</v>
      </c>
      <c r="J422" s="29">
        <v>8.634233661517133E7</v>
      </c>
      <c r="K422" s="29">
        <v>10792.792076896416</v>
      </c>
      <c r="L422" s="30">
        <v>38308.09999999999</v>
      </c>
      <c r="M422" s="29">
        <v>4.134513581609555E8</v>
      </c>
      <c r="N422" s="31" t="s">
        <v>505</v>
      </c>
      <c r="O422" s="32"/>
      <c r="P422" s="33" t="str">
        <f t="array" ref="P422">IFERROR(
HYPERLINK(
"https://drive.google.com/file/d/"&amp;
XLOOKUP(O422,'Hoa-Don'!A:A,'Hoa-Don'!D:D)
&amp;"/view",
"🔎"
),
""
)</f>
        <v/>
      </c>
    </row>
    <row r="423" ht="22.5" customHeight="1">
      <c r="A423" s="21">
        <v>422.0</v>
      </c>
      <c r="B423" s="22">
        <v>42904.0</v>
      </c>
      <c r="C423" s="23">
        <v>201.0</v>
      </c>
      <c r="D423" s="24" t="s">
        <v>93</v>
      </c>
      <c r="E423" s="35" t="s">
        <v>18</v>
      </c>
      <c r="F423" s="26"/>
      <c r="G423" s="36" t="s">
        <v>42</v>
      </c>
      <c r="H423" s="28">
        <v>2214.0</v>
      </c>
      <c r="I423" s="28">
        <v>9819.87021974074</v>
      </c>
      <c r="J423" s="29">
        <v>2.1741192666506E7</v>
      </c>
      <c r="K423" s="29">
        <v>9819.87021974074</v>
      </c>
      <c r="L423" s="30">
        <v>36532.600000000006</v>
      </c>
      <c r="M423" s="29">
        <v>3.587453907897006E8</v>
      </c>
      <c r="N423" s="31" t="s">
        <v>506</v>
      </c>
      <c r="O423" s="32"/>
      <c r="P423" s="33" t="str">
        <f t="array" ref="P423">IFERROR(
HYPERLINK(
"https://drive.google.com/file/d/"&amp;
XLOOKUP(O423,'Hoa-Don'!A:A,'Hoa-Don'!D:D)
&amp;"/view",
"🔎"
),
""
)</f>
        <v/>
      </c>
    </row>
    <row r="424" ht="22.5" customHeight="1">
      <c r="A424" s="21">
        <v>423.0</v>
      </c>
      <c r="B424" s="22">
        <v>42904.0</v>
      </c>
      <c r="C424" s="23">
        <v>202.0</v>
      </c>
      <c r="D424" s="24" t="s">
        <v>130</v>
      </c>
      <c r="E424" s="37" t="s">
        <v>16</v>
      </c>
      <c r="F424" s="26"/>
      <c r="G424" s="36" t="s">
        <v>42</v>
      </c>
      <c r="H424" s="28">
        <v>100.0</v>
      </c>
      <c r="I424" s="28">
        <v>11276.651961429316</v>
      </c>
      <c r="J424" s="29">
        <v>1127665.1961429315</v>
      </c>
      <c r="K424" s="29">
        <v>11276.651961429316</v>
      </c>
      <c r="L424" s="30">
        <v>9253.0</v>
      </c>
      <c r="M424" s="29">
        <v>1.0434286059910546E8</v>
      </c>
      <c r="N424" s="31" t="s">
        <v>507</v>
      </c>
      <c r="O424" s="32"/>
      <c r="P424" s="33" t="str">
        <f t="array" ref="P424">IFERROR(
HYPERLINK(
"https://drive.google.com/file/d/"&amp;
XLOOKUP(O424,'Hoa-Don'!A:A,'Hoa-Don'!D:D)
&amp;"/view",
"🔎"
),
""
)</f>
        <v/>
      </c>
    </row>
    <row r="425" ht="22.5" customHeight="1">
      <c r="A425" s="21">
        <v>424.0</v>
      </c>
      <c r="B425" s="22">
        <v>42920.0</v>
      </c>
      <c r="C425" s="23">
        <v>4194.0</v>
      </c>
      <c r="D425" s="24" t="s">
        <v>71</v>
      </c>
      <c r="E425" s="25" t="s">
        <v>11</v>
      </c>
      <c r="F425" s="26"/>
      <c r="G425" s="27" t="s">
        <v>38</v>
      </c>
      <c r="H425" s="28">
        <v>867.0</v>
      </c>
      <c r="I425" s="28">
        <v>13090.91</v>
      </c>
      <c r="J425" s="29">
        <v>1.134981897E7</v>
      </c>
      <c r="K425" s="29">
        <v>10843.652655154821</v>
      </c>
      <c r="L425" s="30">
        <v>39175.09999999999</v>
      </c>
      <c r="M425" s="29">
        <v>4.248011771309555E8</v>
      </c>
      <c r="N425" s="31" t="s">
        <v>508</v>
      </c>
      <c r="O425" s="32"/>
      <c r="P425" s="33" t="str">
        <f t="array" ref="P425">IFERROR(
HYPERLINK(
"https://drive.google.com/file/d/"&amp;
XLOOKUP(O425,'Hoa-Don'!A:A,'Hoa-Don'!D:D)
&amp;"/view",
"🔎"
),
""
)</f>
        <v/>
      </c>
    </row>
    <row r="426" ht="22.5" customHeight="1">
      <c r="A426" s="21">
        <v>425.0</v>
      </c>
      <c r="B426" s="22">
        <v>42920.0</v>
      </c>
      <c r="C426" s="23">
        <v>4194.0</v>
      </c>
      <c r="D426" s="24" t="s">
        <v>71</v>
      </c>
      <c r="E426" s="35" t="s">
        <v>18</v>
      </c>
      <c r="F426" s="26"/>
      <c r="G426" s="27" t="s">
        <v>38</v>
      </c>
      <c r="H426" s="28">
        <v>5303.0</v>
      </c>
      <c r="I426" s="28">
        <v>10909.09</v>
      </c>
      <c r="J426" s="29">
        <v>5.785090427E7</v>
      </c>
      <c r="K426" s="29">
        <v>9957.937619149732</v>
      </c>
      <c r="L426" s="30">
        <v>41835.600000000006</v>
      </c>
      <c r="M426" s="29">
        <v>4.165962950597006E8</v>
      </c>
      <c r="N426" s="31" t="s">
        <v>509</v>
      </c>
      <c r="O426" s="32"/>
      <c r="P426" s="33" t="str">
        <f t="array" ref="P426">IFERROR(
HYPERLINK(
"https://drive.google.com/file/d/"&amp;
XLOOKUP(O426,'Hoa-Don'!A:A,'Hoa-Don'!D:D)
&amp;"/view",
"🔎"
),
""
)</f>
        <v/>
      </c>
    </row>
    <row r="427" ht="22.5" customHeight="1">
      <c r="A427" s="21">
        <v>426.0</v>
      </c>
      <c r="B427" s="22">
        <v>42921.0</v>
      </c>
      <c r="C427" s="23">
        <v>203.0</v>
      </c>
      <c r="D427" s="24" t="s">
        <v>460</v>
      </c>
      <c r="E427" s="37" t="s">
        <v>16</v>
      </c>
      <c r="F427" s="26"/>
      <c r="G427" s="36" t="s">
        <v>42</v>
      </c>
      <c r="H427" s="28">
        <v>4546.0</v>
      </c>
      <c r="I427" s="28">
        <v>11276.651961429316</v>
      </c>
      <c r="J427" s="29">
        <v>5.126365981665767E7</v>
      </c>
      <c r="K427" s="29">
        <v>11276.651961429316</v>
      </c>
      <c r="L427" s="30">
        <v>4707.0</v>
      </c>
      <c r="M427" s="29">
        <v>5.3079200782447785E7</v>
      </c>
      <c r="N427" s="31" t="s">
        <v>510</v>
      </c>
      <c r="O427" s="32"/>
      <c r="P427" s="33" t="str">
        <f t="array" ref="P427">IFERROR(
HYPERLINK(
"https://drive.google.com/file/d/"&amp;
XLOOKUP(O427,'Hoa-Don'!A:A,'Hoa-Don'!D:D)
&amp;"/view",
"🔎"
),
""
)</f>
        <v/>
      </c>
    </row>
    <row r="428" ht="22.5" customHeight="1">
      <c r="A428" s="21">
        <v>427.0</v>
      </c>
      <c r="B428" s="22">
        <v>42925.0</v>
      </c>
      <c r="C428" s="23">
        <v>204.0</v>
      </c>
      <c r="D428" s="24" t="s">
        <v>130</v>
      </c>
      <c r="E428" s="25" t="s">
        <v>11</v>
      </c>
      <c r="F428" s="26"/>
      <c r="G428" s="36" t="s">
        <v>42</v>
      </c>
      <c r="H428" s="28">
        <v>99.0</v>
      </c>
      <c r="I428" s="28">
        <v>10843.652655154821</v>
      </c>
      <c r="J428" s="29">
        <v>1073521.6128603274</v>
      </c>
      <c r="K428" s="29">
        <v>10843.652655154821</v>
      </c>
      <c r="L428" s="30">
        <v>39076.09999999999</v>
      </c>
      <c r="M428" s="29">
        <v>4.237276555180952E8</v>
      </c>
      <c r="N428" s="31" t="s">
        <v>511</v>
      </c>
      <c r="O428" s="32"/>
      <c r="P428" s="33" t="str">
        <f t="array" ref="P428">IFERROR(
HYPERLINK(
"https://drive.google.com/file/d/"&amp;
XLOOKUP(O428,'Hoa-Don'!A:A,'Hoa-Don'!D:D)
&amp;"/view",
"🔎"
),
""
)</f>
        <v/>
      </c>
    </row>
    <row r="429" ht="22.5" customHeight="1">
      <c r="A429" s="21">
        <v>428.0</v>
      </c>
      <c r="B429" s="22">
        <v>42926.0</v>
      </c>
      <c r="C429" s="23">
        <v>205.0</v>
      </c>
      <c r="D429" s="24" t="s">
        <v>130</v>
      </c>
      <c r="E429" s="25" t="s">
        <v>11</v>
      </c>
      <c r="F429" s="26"/>
      <c r="G429" s="36" t="s">
        <v>42</v>
      </c>
      <c r="H429" s="28">
        <v>108.0</v>
      </c>
      <c r="I429" s="28">
        <v>10843.652655154821</v>
      </c>
      <c r="J429" s="29">
        <v>1171114.4867567208</v>
      </c>
      <c r="K429" s="29">
        <v>10843.652655154821</v>
      </c>
      <c r="L429" s="30">
        <v>38968.09999999999</v>
      </c>
      <c r="M429" s="29">
        <v>4.225565410313385E8</v>
      </c>
      <c r="N429" s="31" t="s">
        <v>512</v>
      </c>
      <c r="O429" s="32"/>
      <c r="P429" s="33" t="str">
        <f t="array" ref="P429">IFERROR(
HYPERLINK(
"https://drive.google.com/file/d/"&amp;
XLOOKUP(O429,'Hoa-Don'!A:A,'Hoa-Don'!D:D)
&amp;"/view",
"🔎"
),
""
)</f>
        <v/>
      </c>
    </row>
    <row r="430" ht="22.5" customHeight="1">
      <c r="A430" s="21">
        <v>429.0</v>
      </c>
      <c r="B430" s="22">
        <v>42932.0</v>
      </c>
      <c r="C430" s="23">
        <v>550.0</v>
      </c>
      <c r="D430" s="24" t="s">
        <v>402</v>
      </c>
      <c r="E430" s="35" t="s">
        <v>18</v>
      </c>
      <c r="F430" s="26"/>
      <c r="G430" s="27" t="s">
        <v>38</v>
      </c>
      <c r="H430" s="28">
        <v>16465.0</v>
      </c>
      <c r="I430" s="28">
        <v>10181.82</v>
      </c>
      <c r="J430" s="29">
        <v>1.6764366629999998E8</v>
      </c>
      <c r="K430" s="29">
        <v>10021.165500178395</v>
      </c>
      <c r="L430" s="30">
        <v>58300.600000000006</v>
      </c>
      <c r="M430" s="29">
        <v>5.842399613597006E8</v>
      </c>
      <c r="N430" s="31" t="s">
        <v>513</v>
      </c>
      <c r="O430" s="32"/>
      <c r="P430" s="33" t="str">
        <f t="array" ref="P430">IFERROR(
HYPERLINK(
"https://drive.google.com/file/d/"&amp;
XLOOKUP(O430,'Hoa-Don'!A:A,'Hoa-Don'!D:D)
&amp;"/view",
"🔎"
),
""
)</f>
        <v/>
      </c>
    </row>
    <row r="431" ht="22.5" customHeight="1">
      <c r="A431" s="21">
        <v>430.0</v>
      </c>
      <c r="B431" s="22">
        <v>42934.0</v>
      </c>
      <c r="C431" s="23">
        <v>206.0</v>
      </c>
      <c r="D431" s="24" t="s">
        <v>115</v>
      </c>
      <c r="E431" s="35" t="s">
        <v>18</v>
      </c>
      <c r="F431" s="26"/>
      <c r="G431" s="36" t="s">
        <v>42</v>
      </c>
      <c r="H431" s="28">
        <v>385.0</v>
      </c>
      <c r="I431" s="28">
        <v>10021.165500178395</v>
      </c>
      <c r="J431" s="29">
        <v>3858148.717568682</v>
      </c>
      <c r="K431" s="29">
        <v>10021.165500178395</v>
      </c>
      <c r="L431" s="30">
        <v>57915.600000000006</v>
      </c>
      <c r="M431" s="29">
        <v>5.803818126421319E8</v>
      </c>
      <c r="N431" s="31" t="s">
        <v>514</v>
      </c>
      <c r="O431" s="32"/>
      <c r="P431" s="33" t="str">
        <f t="array" ref="P431">IFERROR(
HYPERLINK(
"https://drive.google.com/file/d/"&amp;
XLOOKUP(O431,'Hoa-Don'!A:A,'Hoa-Don'!D:D)
&amp;"/view",
"🔎"
),
""
)</f>
        <v/>
      </c>
    </row>
    <row r="432" ht="22.5" customHeight="1">
      <c r="A432" s="21">
        <v>431.0</v>
      </c>
      <c r="B432" s="22">
        <v>42953.0</v>
      </c>
      <c r="C432" s="23">
        <v>207.0</v>
      </c>
      <c r="D432" s="24" t="s">
        <v>130</v>
      </c>
      <c r="E432" s="37" t="s">
        <v>16</v>
      </c>
      <c r="F432" s="26"/>
      <c r="G432" s="36" t="s">
        <v>42</v>
      </c>
      <c r="H432" s="28">
        <v>1100.0</v>
      </c>
      <c r="I432" s="28">
        <v>11276.651961429316</v>
      </c>
      <c r="J432" s="29">
        <v>1.2404317157572247E7</v>
      </c>
      <c r="K432" s="29">
        <v>11276.651961429316</v>
      </c>
      <c r="L432" s="30">
        <v>3607.0</v>
      </c>
      <c r="M432" s="29">
        <v>4.067488362487554E7</v>
      </c>
      <c r="N432" s="31" t="s">
        <v>515</v>
      </c>
      <c r="O432" s="32"/>
      <c r="P432" s="33" t="str">
        <f t="array" ref="P432">IFERROR(
HYPERLINK(
"https://drive.google.com/file/d/"&amp;
XLOOKUP(O432,'Hoa-Don'!A:A,'Hoa-Don'!D:D)
&amp;"/view",
"🔎"
),
""
)</f>
        <v/>
      </c>
    </row>
    <row r="433" ht="22.5" customHeight="1">
      <c r="A433" s="21">
        <v>432.0</v>
      </c>
      <c r="B433" s="22">
        <v>42957.0</v>
      </c>
      <c r="C433" s="23">
        <v>208.0</v>
      </c>
      <c r="D433" s="24" t="s">
        <v>130</v>
      </c>
      <c r="E433" s="37" t="s">
        <v>16</v>
      </c>
      <c r="F433" s="26"/>
      <c r="G433" s="36" t="s">
        <v>42</v>
      </c>
      <c r="H433" s="28">
        <v>887.0</v>
      </c>
      <c r="I433" s="28">
        <v>11276.651961429316</v>
      </c>
      <c r="J433" s="29">
        <v>1.0002390289787803E7</v>
      </c>
      <c r="K433" s="29">
        <v>11276.651961429316</v>
      </c>
      <c r="L433" s="30">
        <v>2720.0</v>
      </c>
      <c r="M433" s="29">
        <v>3.067249333508774E7</v>
      </c>
      <c r="N433" s="31" t="s">
        <v>516</v>
      </c>
      <c r="O433" s="32"/>
      <c r="P433" s="33" t="str">
        <f t="array" ref="P433">IFERROR(
HYPERLINK(
"https://drive.google.com/file/d/"&amp;
XLOOKUP(O433,'Hoa-Don'!A:A,'Hoa-Don'!D:D)
&amp;"/view",
"🔎"
),
""
)</f>
        <v/>
      </c>
    </row>
    <row r="434" ht="22.5" customHeight="1">
      <c r="A434" s="21">
        <v>433.0</v>
      </c>
      <c r="B434" s="22">
        <v>42963.0</v>
      </c>
      <c r="C434" s="23">
        <v>35.0</v>
      </c>
      <c r="D434" s="24" t="s">
        <v>393</v>
      </c>
      <c r="E434" s="25" t="s">
        <v>11</v>
      </c>
      <c r="F434" s="26"/>
      <c r="G434" s="27" t="s">
        <v>38</v>
      </c>
      <c r="H434" s="28">
        <v>597.0</v>
      </c>
      <c r="I434" s="28">
        <v>11727.27</v>
      </c>
      <c r="J434" s="29">
        <v>7001180.19</v>
      </c>
      <c r="K434" s="29">
        <v>10856.985606540578</v>
      </c>
      <c r="L434" s="30">
        <v>39565.09999999999</v>
      </c>
      <c r="M434" s="29">
        <v>4.295577212213385E8</v>
      </c>
      <c r="N434" s="31" t="s">
        <v>517</v>
      </c>
      <c r="O434" s="32"/>
      <c r="P434" s="33" t="str">
        <f t="array" ref="P434">IFERROR(
HYPERLINK(
"https://drive.google.com/file/d/"&amp;
XLOOKUP(O434,'Hoa-Don'!A:A,'Hoa-Don'!D:D)
&amp;"/view",
"🔎"
),
""
)</f>
        <v/>
      </c>
    </row>
    <row r="435" ht="22.5" customHeight="1">
      <c r="A435" s="21">
        <v>434.0</v>
      </c>
      <c r="B435" s="22">
        <v>42976.0</v>
      </c>
      <c r="C435" s="23">
        <v>209.0</v>
      </c>
      <c r="D435" s="24" t="s">
        <v>130</v>
      </c>
      <c r="E435" s="35" t="s">
        <v>18</v>
      </c>
      <c r="F435" s="26"/>
      <c r="G435" s="36" t="s">
        <v>42</v>
      </c>
      <c r="H435" s="28">
        <v>110.0</v>
      </c>
      <c r="I435" s="28">
        <v>10021.165500178395</v>
      </c>
      <c r="J435" s="29">
        <v>1102328.2050196235</v>
      </c>
      <c r="K435" s="29">
        <v>10021.165500178395</v>
      </c>
      <c r="L435" s="30">
        <v>57805.600000000006</v>
      </c>
      <c r="M435" s="29">
        <v>5.792794844371123E8</v>
      </c>
      <c r="N435" s="31" t="s">
        <v>518</v>
      </c>
      <c r="O435" s="32"/>
      <c r="P435" s="33" t="str">
        <f t="array" ref="P435">IFERROR(
HYPERLINK(
"https://drive.google.com/file/d/"&amp;
XLOOKUP(O435,'Hoa-Don'!A:A,'Hoa-Don'!D:D)
&amp;"/view",
"🔎"
),
""
)</f>
        <v/>
      </c>
    </row>
    <row r="436" ht="22.5" customHeight="1">
      <c r="A436" s="21">
        <v>435.0</v>
      </c>
      <c r="B436" s="22">
        <v>42978.0</v>
      </c>
      <c r="C436" s="23">
        <v>82.0</v>
      </c>
      <c r="D436" s="24" t="s">
        <v>393</v>
      </c>
      <c r="E436" s="25" t="s">
        <v>11</v>
      </c>
      <c r="F436" s="26"/>
      <c r="G436" s="27" t="s">
        <v>38</v>
      </c>
      <c r="H436" s="28">
        <v>7988.0</v>
      </c>
      <c r="I436" s="28">
        <v>11818.18</v>
      </c>
      <c r="J436" s="29">
        <v>9.440362184E7</v>
      </c>
      <c r="K436" s="29">
        <v>11018.447652441979</v>
      </c>
      <c r="L436" s="30">
        <v>47553.09999999999</v>
      </c>
      <c r="M436" s="29">
        <v>5.2396134306133854E8</v>
      </c>
      <c r="N436" s="31" t="s">
        <v>519</v>
      </c>
      <c r="O436" s="32"/>
      <c r="P436" s="33" t="str">
        <f t="array" ref="P436">IFERROR(
HYPERLINK(
"https://drive.google.com/file/d/"&amp;
XLOOKUP(O436,'Hoa-Don'!A:A,'Hoa-Don'!D:D)
&amp;"/view",
"🔎"
),
""
)</f>
        <v/>
      </c>
    </row>
    <row r="437" ht="22.5" customHeight="1">
      <c r="A437" s="21">
        <v>436.0</v>
      </c>
      <c r="B437" s="22">
        <v>42982.0</v>
      </c>
      <c r="C437" s="23">
        <v>210.0</v>
      </c>
      <c r="D437" s="24" t="s">
        <v>130</v>
      </c>
      <c r="E437" s="37" t="s">
        <v>16</v>
      </c>
      <c r="F437" s="26"/>
      <c r="G437" s="36" t="s">
        <v>42</v>
      </c>
      <c r="H437" s="28">
        <v>553.0</v>
      </c>
      <c r="I437" s="28">
        <v>11276.651961429316</v>
      </c>
      <c r="J437" s="29">
        <v>6235988.534670412</v>
      </c>
      <c r="K437" s="29">
        <v>11276.651961429316</v>
      </c>
      <c r="L437" s="30">
        <v>2167.0</v>
      </c>
      <c r="M437" s="29">
        <v>2.4436504800417326E7</v>
      </c>
      <c r="N437" s="31" t="s">
        <v>520</v>
      </c>
      <c r="O437" s="32"/>
      <c r="P437" s="33" t="str">
        <f t="array" ref="P437">IFERROR(
HYPERLINK(
"https://drive.google.com/file/d/"&amp;
XLOOKUP(O437,'Hoa-Don'!A:A,'Hoa-Don'!D:D)
&amp;"/view",
"🔎"
),
""
)</f>
        <v/>
      </c>
    </row>
    <row r="438" ht="22.5" customHeight="1">
      <c r="A438" s="21">
        <v>437.0</v>
      </c>
      <c r="B438" s="22">
        <v>42983.0</v>
      </c>
      <c r="C438" s="23">
        <v>211.0</v>
      </c>
      <c r="D438" s="24" t="s">
        <v>93</v>
      </c>
      <c r="E438" s="25" t="s">
        <v>11</v>
      </c>
      <c r="F438" s="26"/>
      <c r="G438" s="36" t="s">
        <v>42</v>
      </c>
      <c r="H438" s="28">
        <v>867.0</v>
      </c>
      <c r="I438" s="28">
        <v>11018.447652441979</v>
      </c>
      <c r="J438" s="29">
        <v>9552994.114667196</v>
      </c>
      <c r="K438" s="29">
        <v>11018.447652441979</v>
      </c>
      <c r="L438" s="30">
        <v>46686.09999999999</v>
      </c>
      <c r="M438" s="29">
        <v>5.1440834894667137E8</v>
      </c>
      <c r="N438" s="31" t="s">
        <v>521</v>
      </c>
      <c r="O438" s="32"/>
      <c r="P438" s="33" t="str">
        <f t="array" ref="P438">IFERROR(
HYPERLINK(
"https://drive.google.com/file/d/"&amp;
XLOOKUP(O438,'Hoa-Don'!A:A,'Hoa-Don'!D:D)
&amp;"/view",
"🔎"
),
""
)</f>
        <v/>
      </c>
    </row>
    <row r="439" ht="22.5" customHeight="1">
      <c r="A439" s="21">
        <v>438.0</v>
      </c>
      <c r="B439" s="22">
        <v>42983.0</v>
      </c>
      <c r="C439" s="23">
        <v>211.0</v>
      </c>
      <c r="D439" s="24" t="s">
        <v>93</v>
      </c>
      <c r="E439" s="35" t="s">
        <v>18</v>
      </c>
      <c r="F439" s="26"/>
      <c r="G439" s="36" t="s">
        <v>42</v>
      </c>
      <c r="H439" s="28">
        <v>5000.0</v>
      </c>
      <c r="I439" s="28">
        <v>10021.165500178395</v>
      </c>
      <c r="J439" s="29">
        <v>5.0105827500891976E7</v>
      </c>
      <c r="K439" s="29">
        <v>10021.165500178395</v>
      </c>
      <c r="L439" s="30">
        <v>52805.600000000006</v>
      </c>
      <c r="M439" s="29">
        <v>5.291736569362203E8</v>
      </c>
      <c r="N439" s="31" t="s">
        <v>522</v>
      </c>
      <c r="O439" s="32"/>
      <c r="P439" s="33" t="str">
        <f t="array" ref="P439">IFERROR(
HYPERLINK(
"https://drive.google.com/file/d/"&amp;
XLOOKUP(O439,'Hoa-Don'!A:A,'Hoa-Don'!D:D)
&amp;"/view",
"🔎"
),
""
)</f>
        <v/>
      </c>
    </row>
    <row r="440" ht="22.5" customHeight="1">
      <c r="A440" s="21">
        <v>439.0</v>
      </c>
      <c r="B440" s="22">
        <v>42983.0</v>
      </c>
      <c r="C440" s="23">
        <v>211.0</v>
      </c>
      <c r="D440" s="24" t="s">
        <v>93</v>
      </c>
      <c r="E440" s="25" t="s">
        <v>11</v>
      </c>
      <c r="F440" s="26"/>
      <c r="G440" s="36" t="s">
        <v>42</v>
      </c>
      <c r="H440" s="28">
        <v>5100.0</v>
      </c>
      <c r="I440" s="28">
        <v>11018.447652441979</v>
      </c>
      <c r="J440" s="29">
        <v>5.619408302745409E7</v>
      </c>
      <c r="K440" s="29">
        <v>11018.447652441979</v>
      </c>
      <c r="L440" s="30">
        <v>41586.09999999999</v>
      </c>
      <c r="M440" s="29">
        <v>4.582142659192173E8</v>
      </c>
      <c r="N440" s="31" t="s">
        <v>523</v>
      </c>
      <c r="O440" s="32"/>
      <c r="P440" s="33" t="str">
        <f t="array" ref="P440">IFERROR(
HYPERLINK(
"https://drive.google.com/file/d/"&amp;
XLOOKUP(O440,'Hoa-Don'!A:A,'Hoa-Don'!D:D)
&amp;"/view",
"🔎"
),
""
)</f>
        <v/>
      </c>
    </row>
    <row r="441" ht="22.5" customHeight="1">
      <c r="A441" s="21">
        <v>440.0</v>
      </c>
      <c r="B441" s="22">
        <v>42983.0</v>
      </c>
      <c r="C441" s="23">
        <v>212.0</v>
      </c>
      <c r="D441" s="24" t="s">
        <v>524</v>
      </c>
      <c r="E441" s="35" t="s">
        <v>18</v>
      </c>
      <c r="F441" s="26"/>
      <c r="G441" s="36" t="s">
        <v>42</v>
      </c>
      <c r="H441" s="28">
        <v>1250.0</v>
      </c>
      <c r="I441" s="28">
        <v>10021.165500178395</v>
      </c>
      <c r="J441" s="29">
        <v>1.2526456875222994E7</v>
      </c>
      <c r="K441" s="29">
        <v>10021.165500178395</v>
      </c>
      <c r="L441" s="30">
        <v>51555.600000000006</v>
      </c>
      <c r="M441" s="29">
        <v>5.166472000609973E8</v>
      </c>
      <c r="N441" s="31" t="s">
        <v>525</v>
      </c>
      <c r="O441" s="32"/>
      <c r="P441" s="33" t="str">
        <f t="array" ref="P441">IFERROR(
HYPERLINK(
"https://drive.google.com/file/d/"&amp;
XLOOKUP(O441,'Hoa-Don'!A:A,'Hoa-Don'!D:D)
&amp;"/view",
"🔎"
),
""
)</f>
        <v/>
      </c>
    </row>
    <row r="442" ht="22.5" customHeight="1">
      <c r="A442" s="21">
        <v>441.0</v>
      </c>
      <c r="B442" s="22">
        <v>42984.0</v>
      </c>
      <c r="C442" s="23">
        <v>213.0</v>
      </c>
      <c r="D442" s="24" t="s">
        <v>524</v>
      </c>
      <c r="E442" s="35" t="s">
        <v>18</v>
      </c>
      <c r="F442" s="26"/>
      <c r="G442" s="36" t="s">
        <v>42</v>
      </c>
      <c r="H442" s="28">
        <v>1250.0</v>
      </c>
      <c r="I442" s="28">
        <v>10021.165500178395</v>
      </c>
      <c r="J442" s="29">
        <v>1.2526456875222994E7</v>
      </c>
      <c r="K442" s="29">
        <v>10021.165500178395</v>
      </c>
      <c r="L442" s="30">
        <v>50305.600000000006</v>
      </c>
      <c r="M442" s="29">
        <v>5.041207431857743E8</v>
      </c>
      <c r="N442" s="31" t="s">
        <v>526</v>
      </c>
      <c r="O442" s="32"/>
      <c r="P442" s="33" t="str">
        <f t="array" ref="P442">IFERROR(
HYPERLINK(
"https://drive.google.com/file/d/"&amp;
XLOOKUP(O442,'Hoa-Don'!A:A,'Hoa-Don'!D:D)
&amp;"/view",
"🔎"
),
""
)</f>
        <v/>
      </c>
    </row>
    <row r="443" ht="22.5" customHeight="1">
      <c r="A443" s="21">
        <v>442.0</v>
      </c>
      <c r="B443" s="22">
        <v>42985.0</v>
      </c>
      <c r="C443" s="23">
        <v>214.0</v>
      </c>
      <c r="D443" s="24" t="s">
        <v>524</v>
      </c>
      <c r="E443" s="35" t="s">
        <v>18</v>
      </c>
      <c r="F443" s="26"/>
      <c r="G443" s="36" t="s">
        <v>42</v>
      </c>
      <c r="H443" s="28">
        <v>1250.0</v>
      </c>
      <c r="I443" s="28">
        <v>10021.165500178395</v>
      </c>
      <c r="J443" s="29">
        <v>1.2526456875222994E7</v>
      </c>
      <c r="K443" s="29">
        <v>10021.165500178395</v>
      </c>
      <c r="L443" s="30">
        <v>49055.600000000006</v>
      </c>
      <c r="M443" s="29">
        <v>4.9159428631055135E8</v>
      </c>
      <c r="N443" s="31" t="s">
        <v>527</v>
      </c>
      <c r="O443" s="32"/>
      <c r="P443" s="33" t="str">
        <f t="array" ref="P443">IFERROR(
HYPERLINK(
"https://drive.google.com/file/d/"&amp;
XLOOKUP(O443,'Hoa-Don'!A:A,'Hoa-Don'!D:D)
&amp;"/view",
"🔎"
),
""
)</f>
        <v/>
      </c>
    </row>
    <row r="444" ht="22.5" customHeight="1">
      <c r="A444" s="21">
        <v>443.0</v>
      </c>
      <c r="B444" s="22">
        <v>42986.0</v>
      </c>
      <c r="C444" s="23">
        <v>215.0</v>
      </c>
      <c r="D444" s="24" t="s">
        <v>524</v>
      </c>
      <c r="E444" s="35" t="s">
        <v>18</v>
      </c>
      <c r="F444" s="26"/>
      <c r="G444" s="36" t="s">
        <v>42</v>
      </c>
      <c r="H444" s="28">
        <v>1090.0</v>
      </c>
      <c r="I444" s="28">
        <v>10021.165500178395</v>
      </c>
      <c r="J444" s="29">
        <v>1.092307039519445E7</v>
      </c>
      <c r="K444" s="29">
        <v>10021.165500178395</v>
      </c>
      <c r="L444" s="30">
        <v>47965.600000000006</v>
      </c>
      <c r="M444" s="29">
        <v>4.806712159153569E8</v>
      </c>
      <c r="N444" s="31" t="s">
        <v>528</v>
      </c>
      <c r="O444" s="32"/>
      <c r="P444" s="33" t="str">
        <f t="array" ref="P444">IFERROR(
HYPERLINK(
"https://drive.google.com/file/d/"&amp;
XLOOKUP(O444,'Hoa-Don'!A:A,'Hoa-Don'!D:D)
&amp;"/view",
"🔎"
),
""
)</f>
        <v/>
      </c>
    </row>
    <row r="445" ht="22.5" customHeight="1">
      <c r="A445" s="21">
        <v>444.0</v>
      </c>
      <c r="B445" s="22">
        <v>42987.0</v>
      </c>
      <c r="C445" s="23">
        <v>1370.0</v>
      </c>
      <c r="D445" s="24" t="s">
        <v>37</v>
      </c>
      <c r="E445" s="37" t="s">
        <v>16</v>
      </c>
      <c r="F445" s="26"/>
      <c r="G445" s="27" t="s">
        <v>38</v>
      </c>
      <c r="H445" s="28">
        <v>1500.0</v>
      </c>
      <c r="I445" s="28">
        <v>12000.0</v>
      </c>
      <c r="J445" s="29">
        <v>1.8E7</v>
      </c>
      <c r="K445" s="29">
        <v>11572.540169189344</v>
      </c>
      <c r="L445" s="30">
        <v>3667.0</v>
      </c>
      <c r="M445" s="29">
        <v>4.243650480041733E7</v>
      </c>
      <c r="N445" s="31" t="s">
        <v>529</v>
      </c>
      <c r="O445" s="32"/>
      <c r="P445" s="33" t="str">
        <f t="array" ref="P445">IFERROR(
HYPERLINK(
"https://drive.google.com/file/d/"&amp;
XLOOKUP(O445,'Hoa-Don'!A:A,'Hoa-Don'!D:D)
&amp;"/view",
"🔎"
),
""
)</f>
        <v/>
      </c>
    </row>
    <row r="446" ht="22.5" customHeight="1">
      <c r="A446" s="21">
        <v>445.0</v>
      </c>
      <c r="B446" s="22">
        <v>42987.0</v>
      </c>
      <c r="C446" s="23">
        <v>216.0</v>
      </c>
      <c r="D446" s="24" t="s">
        <v>524</v>
      </c>
      <c r="E446" s="35" t="s">
        <v>18</v>
      </c>
      <c r="F446" s="26"/>
      <c r="G446" s="36" t="s">
        <v>42</v>
      </c>
      <c r="H446" s="28">
        <v>1000.0</v>
      </c>
      <c r="I446" s="28">
        <v>10021.165500178395</v>
      </c>
      <c r="J446" s="29">
        <v>1.0021165500178395E7</v>
      </c>
      <c r="K446" s="29">
        <v>10021.165500178395</v>
      </c>
      <c r="L446" s="30">
        <v>46965.600000000006</v>
      </c>
      <c r="M446" s="29">
        <v>4.706500504151785E8</v>
      </c>
      <c r="N446" s="31" t="s">
        <v>530</v>
      </c>
      <c r="O446" s="32"/>
      <c r="P446" s="33" t="str">
        <f t="array" ref="P446">IFERROR(
HYPERLINK(
"https://drive.google.com/file/d/"&amp;
XLOOKUP(O446,'Hoa-Don'!A:A,'Hoa-Don'!D:D)
&amp;"/view",
"🔎"
),
""
)</f>
        <v/>
      </c>
    </row>
    <row r="447" ht="22.5" customHeight="1">
      <c r="A447" s="21">
        <v>446.0</v>
      </c>
      <c r="B447" s="22">
        <v>42987.0</v>
      </c>
      <c r="C447" s="23">
        <v>217.0</v>
      </c>
      <c r="D447" s="24" t="s">
        <v>140</v>
      </c>
      <c r="E447" s="35" t="s">
        <v>18</v>
      </c>
      <c r="F447" s="26"/>
      <c r="G447" s="36" t="s">
        <v>42</v>
      </c>
      <c r="H447" s="28">
        <v>1500.0</v>
      </c>
      <c r="I447" s="28">
        <v>10021.165500178395</v>
      </c>
      <c r="J447" s="29">
        <v>1.5031748250267591E7</v>
      </c>
      <c r="K447" s="29">
        <v>10021.165500178395</v>
      </c>
      <c r="L447" s="30">
        <v>45465.600000000006</v>
      </c>
      <c r="M447" s="29">
        <v>4.5561830216491085E8</v>
      </c>
      <c r="N447" s="31" t="s">
        <v>531</v>
      </c>
      <c r="O447" s="32"/>
      <c r="P447" s="33" t="str">
        <f t="array" ref="P447">IFERROR(
HYPERLINK(
"https://drive.google.com/file/d/"&amp;
XLOOKUP(O447,'Hoa-Don'!A:A,'Hoa-Don'!D:D)
&amp;"/view",
"🔎"
),
""
)</f>
        <v/>
      </c>
    </row>
    <row r="448" ht="22.5" customHeight="1">
      <c r="A448" s="21">
        <v>447.0</v>
      </c>
      <c r="B448" s="22">
        <v>42988.0</v>
      </c>
      <c r="C448" s="23">
        <v>218.0</v>
      </c>
      <c r="D448" s="24" t="s">
        <v>140</v>
      </c>
      <c r="E448" s="35" t="s">
        <v>18</v>
      </c>
      <c r="F448" s="26"/>
      <c r="G448" s="36" t="s">
        <v>42</v>
      </c>
      <c r="H448" s="28">
        <v>563.0</v>
      </c>
      <c r="I448" s="28">
        <v>10021.165500178395</v>
      </c>
      <c r="J448" s="29">
        <v>5641916.176600437</v>
      </c>
      <c r="K448" s="29">
        <v>10021.165500178395</v>
      </c>
      <c r="L448" s="30">
        <v>44902.600000000006</v>
      </c>
      <c r="M448" s="29">
        <v>4.4997638598831046E8</v>
      </c>
      <c r="N448" s="31" t="s">
        <v>532</v>
      </c>
      <c r="O448" s="32"/>
      <c r="P448" s="33" t="str">
        <f t="array" ref="P448">IFERROR(
HYPERLINK(
"https://drive.google.com/file/d/"&amp;
XLOOKUP(O448,'Hoa-Don'!A:A,'Hoa-Don'!D:D)
&amp;"/view",
"🔎"
),
""
)</f>
        <v/>
      </c>
    </row>
    <row r="449" ht="22.5" customHeight="1">
      <c r="A449" s="21">
        <v>448.0</v>
      </c>
      <c r="B449" s="22">
        <v>42988.0</v>
      </c>
      <c r="C449" s="23">
        <v>218.0</v>
      </c>
      <c r="D449" s="24" t="s">
        <v>140</v>
      </c>
      <c r="E449" s="25" t="s">
        <v>11</v>
      </c>
      <c r="F449" s="26"/>
      <c r="G449" s="36" t="s">
        <v>42</v>
      </c>
      <c r="H449" s="28">
        <v>860.0</v>
      </c>
      <c r="I449" s="28">
        <v>11018.447652441979</v>
      </c>
      <c r="J449" s="29">
        <v>9475864.981100101</v>
      </c>
      <c r="K449" s="29">
        <v>11018.447652441979</v>
      </c>
      <c r="L449" s="30">
        <v>40726.09999999999</v>
      </c>
      <c r="M449" s="29">
        <v>4.4873840093811715E8</v>
      </c>
      <c r="N449" s="31" t="s">
        <v>533</v>
      </c>
      <c r="O449" s="32"/>
      <c r="P449" s="33" t="str">
        <f t="array" ref="P449">IFERROR(
HYPERLINK(
"https://drive.google.com/file/d/"&amp;
XLOOKUP(O449,'Hoa-Don'!A:A,'Hoa-Don'!D:D)
&amp;"/view",
"🔎"
),
""
)</f>
        <v/>
      </c>
    </row>
    <row r="450" ht="22.5" customHeight="1">
      <c r="A450" s="21">
        <v>449.0</v>
      </c>
      <c r="B450" s="22">
        <v>42989.0</v>
      </c>
      <c r="C450" s="23">
        <v>1372.0</v>
      </c>
      <c r="D450" s="24" t="s">
        <v>37</v>
      </c>
      <c r="E450" s="37" t="s">
        <v>16</v>
      </c>
      <c r="F450" s="26"/>
      <c r="G450" s="27" t="s">
        <v>38</v>
      </c>
      <c r="H450" s="28">
        <v>1500.0</v>
      </c>
      <c r="I450" s="28">
        <v>12000.0</v>
      </c>
      <c r="J450" s="29">
        <v>1.8E7</v>
      </c>
      <c r="K450" s="29">
        <v>11696.633404377264</v>
      </c>
      <c r="L450" s="30">
        <v>5167.0</v>
      </c>
      <c r="M450" s="29">
        <v>6.043650480041733E7</v>
      </c>
      <c r="N450" s="31" t="s">
        <v>534</v>
      </c>
      <c r="O450" s="32"/>
      <c r="P450" s="33" t="str">
        <f t="array" ref="P450">IFERROR(
HYPERLINK(
"https://drive.google.com/file/d/"&amp;
XLOOKUP(O450,'Hoa-Don'!A:A,'Hoa-Don'!D:D)
&amp;"/view",
"🔎"
),
""
)</f>
        <v/>
      </c>
    </row>
    <row r="451" ht="22.5" customHeight="1">
      <c r="A451" s="21">
        <v>450.0</v>
      </c>
      <c r="B451" s="22">
        <v>42989.0</v>
      </c>
      <c r="C451" s="23">
        <v>219.0</v>
      </c>
      <c r="D451" s="24" t="s">
        <v>140</v>
      </c>
      <c r="E451" s="25" t="s">
        <v>11</v>
      </c>
      <c r="F451" s="26"/>
      <c r="G451" s="36" t="s">
        <v>42</v>
      </c>
      <c r="H451" s="28">
        <v>1400.0</v>
      </c>
      <c r="I451" s="28">
        <v>11018.447652441979</v>
      </c>
      <c r="J451" s="29">
        <v>1.542582671341877E7</v>
      </c>
      <c r="K451" s="29">
        <v>11018.447652441979</v>
      </c>
      <c r="L451" s="30">
        <v>39326.09999999999</v>
      </c>
      <c r="M451" s="29">
        <v>4.333125742246984E8</v>
      </c>
      <c r="N451" s="31" t="s">
        <v>535</v>
      </c>
      <c r="O451" s="32"/>
      <c r="P451" s="33" t="str">
        <f t="array" ref="P451">IFERROR(
HYPERLINK(
"https://drive.google.com/file/d/"&amp;
XLOOKUP(O451,'Hoa-Don'!A:A,'Hoa-Don'!D:D)
&amp;"/view",
"🔎"
),
""
)</f>
        <v/>
      </c>
    </row>
    <row r="452" ht="22.5" customHeight="1">
      <c r="A452" s="21">
        <v>451.0</v>
      </c>
      <c r="B452" s="22">
        <v>42989.0</v>
      </c>
      <c r="C452" s="23">
        <v>220.0</v>
      </c>
      <c r="D452" s="24" t="s">
        <v>63</v>
      </c>
      <c r="E452" s="35" t="s">
        <v>18</v>
      </c>
      <c r="F452" s="26"/>
      <c r="G452" s="36" t="s">
        <v>42</v>
      </c>
      <c r="H452" s="28">
        <v>516.0</v>
      </c>
      <c r="I452" s="28">
        <v>10021.165500178395</v>
      </c>
      <c r="J452" s="29">
        <v>5170921.398092052</v>
      </c>
      <c r="K452" s="29">
        <v>10021.165500178395</v>
      </c>
      <c r="L452" s="30">
        <v>44386.600000000006</v>
      </c>
      <c r="M452" s="29">
        <v>4.4480546459021837E8</v>
      </c>
      <c r="N452" s="31" t="s">
        <v>536</v>
      </c>
      <c r="O452" s="32"/>
      <c r="P452" s="33" t="str">
        <f t="array" ref="P452">IFERROR(
HYPERLINK(
"https://drive.google.com/file/d/"&amp;
XLOOKUP(O452,'Hoa-Don'!A:A,'Hoa-Don'!D:D)
&amp;"/view",
"🔎"
),
""
)</f>
        <v/>
      </c>
    </row>
    <row r="453" ht="22.5" customHeight="1">
      <c r="A453" s="21">
        <v>452.0</v>
      </c>
      <c r="B453" s="22">
        <v>42990.0</v>
      </c>
      <c r="C453" s="23">
        <v>221.0</v>
      </c>
      <c r="D453" s="24" t="s">
        <v>48</v>
      </c>
      <c r="E453" s="35" t="s">
        <v>18</v>
      </c>
      <c r="F453" s="26"/>
      <c r="G453" s="36" t="s">
        <v>42</v>
      </c>
      <c r="H453" s="28">
        <v>1333.0</v>
      </c>
      <c r="I453" s="28">
        <v>10021.165500178395</v>
      </c>
      <c r="J453" s="29">
        <v>1.33582136117378E7</v>
      </c>
      <c r="K453" s="29">
        <v>10021.165500178395</v>
      </c>
      <c r="L453" s="30">
        <v>43053.600000000006</v>
      </c>
      <c r="M453" s="29">
        <v>4.314472509784806E8</v>
      </c>
      <c r="N453" s="31" t="s">
        <v>537</v>
      </c>
      <c r="O453" s="32"/>
      <c r="P453" s="33" t="str">
        <f t="array" ref="P453">IFERROR(
HYPERLINK(
"https://drive.google.com/file/d/"&amp;
XLOOKUP(O453,'Hoa-Don'!A:A,'Hoa-Don'!D:D)
&amp;"/view",
"🔎"
),
""
)</f>
        <v/>
      </c>
    </row>
    <row r="454" ht="22.5" customHeight="1">
      <c r="A454" s="21">
        <v>453.0</v>
      </c>
      <c r="B454" s="22">
        <v>42991.0</v>
      </c>
      <c r="C454" s="23">
        <v>222.0</v>
      </c>
      <c r="D454" s="24" t="s">
        <v>48</v>
      </c>
      <c r="E454" s="35" t="s">
        <v>18</v>
      </c>
      <c r="F454" s="26"/>
      <c r="G454" s="36" t="s">
        <v>42</v>
      </c>
      <c r="H454" s="28">
        <v>1300.0</v>
      </c>
      <c r="I454" s="28">
        <v>10021.165500178395</v>
      </c>
      <c r="J454" s="29">
        <v>1.3027515150231913E7</v>
      </c>
      <c r="K454" s="29">
        <v>10021.165500178395</v>
      </c>
      <c r="L454" s="30">
        <v>41753.600000000006</v>
      </c>
      <c r="M454" s="29">
        <v>4.184197358282487E8</v>
      </c>
      <c r="N454" s="31" t="s">
        <v>538</v>
      </c>
      <c r="O454" s="32"/>
      <c r="P454" s="33" t="str">
        <f t="array" ref="P454">IFERROR(
HYPERLINK(
"https://drive.google.com/file/d/"&amp;
XLOOKUP(O454,'Hoa-Don'!A:A,'Hoa-Don'!D:D)
&amp;"/view",
"🔎"
),
""
)</f>
        <v/>
      </c>
    </row>
    <row r="455" ht="22.5" customHeight="1">
      <c r="A455" s="21">
        <v>454.0</v>
      </c>
      <c r="B455" s="22">
        <v>42992.0</v>
      </c>
      <c r="C455" s="23">
        <v>636.0</v>
      </c>
      <c r="D455" s="24" t="s">
        <v>402</v>
      </c>
      <c r="E455" s="35" t="s">
        <v>18</v>
      </c>
      <c r="F455" s="26"/>
      <c r="G455" s="27" t="s">
        <v>38</v>
      </c>
      <c r="H455" s="28">
        <v>16950.0</v>
      </c>
      <c r="I455" s="28">
        <v>11589.7</v>
      </c>
      <c r="J455" s="29">
        <v>1.96445415E8</v>
      </c>
      <c r="K455" s="29">
        <v>10474.06208185271</v>
      </c>
      <c r="L455" s="30">
        <v>58703.600000000006</v>
      </c>
      <c r="M455" s="29">
        <v>6.148651508282487E8</v>
      </c>
      <c r="N455" s="31" t="s">
        <v>539</v>
      </c>
      <c r="O455" s="32"/>
      <c r="P455" s="33" t="str">
        <f t="array" ref="P455">IFERROR(
HYPERLINK(
"https://drive.google.com/file/d/"&amp;
XLOOKUP(O455,'Hoa-Don'!A:A,'Hoa-Don'!D:D)
&amp;"/view",
"🔎"
),
""
)</f>
        <v/>
      </c>
    </row>
    <row r="456" ht="22.5" customHeight="1">
      <c r="A456" s="21">
        <v>455.0</v>
      </c>
      <c r="B456" s="22">
        <v>42992.0</v>
      </c>
      <c r="C456" s="23">
        <v>223.0</v>
      </c>
      <c r="D456" s="24" t="s">
        <v>48</v>
      </c>
      <c r="E456" s="35" t="s">
        <v>18</v>
      </c>
      <c r="F456" s="26"/>
      <c r="G456" s="36" t="s">
        <v>42</v>
      </c>
      <c r="H456" s="28">
        <v>1200.0</v>
      </c>
      <c r="I456" s="28">
        <v>10474.06208185271</v>
      </c>
      <c r="J456" s="29">
        <v>1.256887449822325E7</v>
      </c>
      <c r="K456" s="29">
        <v>10474.06208185271</v>
      </c>
      <c r="L456" s="30">
        <v>57503.600000000006</v>
      </c>
      <c r="M456" s="29">
        <v>6.022962763300256E8</v>
      </c>
      <c r="N456" s="31" t="s">
        <v>540</v>
      </c>
      <c r="O456" s="32"/>
      <c r="P456" s="33" t="str">
        <f t="array" ref="P456">IFERROR(
HYPERLINK(
"https://drive.google.com/file/d/"&amp;
XLOOKUP(O456,'Hoa-Don'!A:A,'Hoa-Don'!D:D)
&amp;"/view",
"🔎"
),
""
)</f>
        <v/>
      </c>
    </row>
    <row r="457" ht="22.5" customHeight="1">
      <c r="A457" s="21">
        <v>456.0</v>
      </c>
      <c r="B457" s="22">
        <v>42993.0</v>
      </c>
      <c r="C457" s="23">
        <v>224.0</v>
      </c>
      <c r="D457" s="24" t="s">
        <v>48</v>
      </c>
      <c r="E457" s="35" t="s">
        <v>18</v>
      </c>
      <c r="F457" s="26"/>
      <c r="G457" s="36" t="s">
        <v>42</v>
      </c>
      <c r="H457" s="28">
        <v>1282.64</v>
      </c>
      <c r="I457" s="28">
        <v>10474.06208185271</v>
      </c>
      <c r="J457" s="29">
        <v>1.343445098866756E7</v>
      </c>
      <c r="K457" s="29">
        <v>10474.06208185271</v>
      </c>
      <c r="L457" s="30">
        <v>56220.96000000001</v>
      </c>
      <c r="M457" s="29">
        <v>5.88861825341358E8</v>
      </c>
      <c r="N457" s="31" t="s">
        <v>541</v>
      </c>
      <c r="O457" s="32"/>
      <c r="P457" s="33" t="str">
        <f t="array" ref="P457">IFERROR(
HYPERLINK(
"https://drive.google.com/file/d/"&amp;
XLOOKUP(O457,'Hoa-Don'!A:A,'Hoa-Don'!D:D)
&amp;"/view",
"🔎"
),
""
)</f>
        <v/>
      </c>
    </row>
    <row r="458" ht="22.5" customHeight="1">
      <c r="A458" s="21">
        <v>457.0</v>
      </c>
      <c r="B458" s="22">
        <v>42994.0</v>
      </c>
      <c r="C458" s="23">
        <v>225.0</v>
      </c>
      <c r="D458" s="24" t="s">
        <v>48</v>
      </c>
      <c r="E458" s="35" t="s">
        <v>18</v>
      </c>
      <c r="F458" s="26"/>
      <c r="G458" s="36" t="s">
        <v>42</v>
      </c>
      <c r="H458" s="28">
        <v>730.05</v>
      </c>
      <c r="I458" s="28">
        <v>10474.06208185271</v>
      </c>
      <c r="J458" s="29">
        <v>7646589.02285657</v>
      </c>
      <c r="K458" s="29">
        <v>10474.06208185271</v>
      </c>
      <c r="L458" s="30">
        <v>55490.91</v>
      </c>
      <c r="M458" s="29">
        <v>5.812152363185014E8</v>
      </c>
      <c r="N458" s="31" t="s">
        <v>542</v>
      </c>
      <c r="O458" s="32"/>
      <c r="P458" s="33" t="str">
        <f t="array" ref="P458">IFERROR(
HYPERLINK(
"https://drive.google.com/file/d/"&amp;
XLOOKUP(O458,'Hoa-Don'!A:A,'Hoa-Don'!D:D)
&amp;"/view",
"🔎"
),
""
)</f>
        <v/>
      </c>
    </row>
    <row r="459" ht="22.5" customHeight="1">
      <c r="A459" s="21">
        <v>458.0</v>
      </c>
      <c r="B459" s="22">
        <v>42994.0</v>
      </c>
      <c r="C459" s="23">
        <v>225.0</v>
      </c>
      <c r="D459" s="24" t="s">
        <v>48</v>
      </c>
      <c r="E459" s="35" t="s">
        <v>18</v>
      </c>
      <c r="F459" s="26"/>
      <c r="G459" s="36" t="s">
        <v>42</v>
      </c>
      <c r="H459" s="28">
        <v>414.48</v>
      </c>
      <c r="I459" s="28">
        <v>10474.06208185271</v>
      </c>
      <c r="J459" s="29">
        <v>4341289.251686311</v>
      </c>
      <c r="K459" s="29">
        <v>10474.06208185271</v>
      </c>
      <c r="L459" s="30">
        <v>55076.43</v>
      </c>
      <c r="M459" s="29">
        <v>5.76873947066815E8</v>
      </c>
      <c r="N459" s="31" t="s">
        <v>543</v>
      </c>
      <c r="O459" s="32"/>
      <c r="P459" s="33" t="str">
        <f t="array" ref="P459">IFERROR(
HYPERLINK(
"https://drive.google.com/file/d/"&amp;
XLOOKUP(O459,'Hoa-Don'!A:A,'Hoa-Don'!D:D)
&amp;"/view",
"🔎"
),
""
)</f>
        <v/>
      </c>
    </row>
    <row r="460" ht="22.5" customHeight="1">
      <c r="A460" s="21">
        <v>459.0</v>
      </c>
      <c r="B460" s="22">
        <v>42994.0</v>
      </c>
      <c r="C460" s="23">
        <v>225.0</v>
      </c>
      <c r="D460" s="24" t="s">
        <v>48</v>
      </c>
      <c r="E460" s="35" t="s">
        <v>18</v>
      </c>
      <c r="F460" s="26"/>
      <c r="G460" s="36" t="s">
        <v>42</v>
      </c>
      <c r="H460" s="28">
        <v>45.1</v>
      </c>
      <c r="I460" s="28">
        <v>10474.06208185271</v>
      </c>
      <c r="J460" s="29">
        <v>472380.1998915572</v>
      </c>
      <c r="K460" s="29">
        <v>10474.06208185271</v>
      </c>
      <c r="L460" s="30">
        <v>55031.33</v>
      </c>
      <c r="M460" s="29">
        <v>5.764015668669235E8</v>
      </c>
      <c r="N460" s="31" t="s">
        <v>544</v>
      </c>
      <c r="O460" s="32"/>
      <c r="P460" s="33" t="str">
        <f t="array" ref="P460">IFERROR(
HYPERLINK(
"https://drive.google.com/file/d/"&amp;
XLOOKUP(O460,'Hoa-Don'!A:A,'Hoa-Don'!D:D)
&amp;"/view",
"🔎"
),
""
)</f>
        <v/>
      </c>
    </row>
    <row r="461" ht="22.5" customHeight="1">
      <c r="A461" s="21">
        <v>460.0</v>
      </c>
      <c r="B461" s="22">
        <v>42994.0</v>
      </c>
      <c r="C461" s="23">
        <v>225.0</v>
      </c>
      <c r="D461" s="24" t="s">
        <v>48</v>
      </c>
      <c r="E461" s="35" t="s">
        <v>18</v>
      </c>
      <c r="F461" s="26"/>
      <c r="G461" s="36" t="s">
        <v>42</v>
      </c>
      <c r="H461" s="28">
        <v>39.48</v>
      </c>
      <c r="I461" s="28">
        <v>10474.06208185271</v>
      </c>
      <c r="J461" s="29">
        <v>413515.97099154495</v>
      </c>
      <c r="K461" s="29">
        <v>10474.06208185271</v>
      </c>
      <c r="L461" s="30">
        <v>54991.85</v>
      </c>
      <c r="M461" s="29">
        <v>5.75988050895932E8</v>
      </c>
      <c r="N461" s="31" t="s">
        <v>545</v>
      </c>
      <c r="O461" s="32"/>
      <c r="P461" s="33" t="str">
        <f t="array" ref="P461">IFERROR(
HYPERLINK(
"https://drive.google.com/file/d/"&amp;
XLOOKUP(O461,'Hoa-Don'!A:A,'Hoa-Don'!D:D)
&amp;"/view",
"🔎"
),
""
)</f>
        <v/>
      </c>
    </row>
    <row r="462" ht="22.5" customHeight="1">
      <c r="A462" s="21">
        <v>461.0</v>
      </c>
      <c r="B462" s="22">
        <v>42995.0</v>
      </c>
      <c r="C462" s="23">
        <v>226.0</v>
      </c>
      <c r="D462" s="24" t="s">
        <v>130</v>
      </c>
      <c r="E462" s="25" t="s">
        <v>11</v>
      </c>
      <c r="F462" s="26"/>
      <c r="G462" s="36" t="s">
        <v>42</v>
      </c>
      <c r="H462" s="28">
        <v>95.0</v>
      </c>
      <c r="I462" s="28">
        <v>11018.447652441979</v>
      </c>
      <c r="J462" s="29">
        <v>1046752.526981988</v>
      </c>
      <c r="K462" s="29">
        <v>11018.447652441979</v>
      </c>
      <c r="L462" s="30">
        <v>39231.09999999999</v>
      </c>
      <c r="M462" s="29">
        <v>4.322658216977164E8</v>
      </c>
      <c r="N462" s="31" t="s">
        <v>546</v>
      </c>
      <c r="O462" s="32"/>
      <c r="P462" s="33" t="str">
        <f t="array" ref="P462">IFERROR(
HYPERLINK(
"https://drive.google.com/file/d/"&amp;
XLOOKUP(O462,'Hoa-Don'!A:A,'Hoa-Don'!D:D)
&amp;"/view",
"🔎"
),
""
)</f>
        <v/>
      </c>
    </row>
    <row r="463" ht="22.5" customHeight="1">
      <c r="A463" s="21">
        <v>462.0</v>
      </c>
      <c r="B463" s="22">
        <v>42996.0</v>
      </c>
      <c r="C463" s="23">
        <v>227.0</v>
      </c>
      <c r="D463" s="24" t="s">
        <v>430</v>
      </c>
      <c r="E463" s="35" t="s">
        <v>18</v>
      </c>
      <c r="F463" s="26"/>
      <c r="G463" s="36" t="s">
        <v>42</v>
      </c>
      <c r="H463" s="28">
        <v>30000.0</v>
      </c>
      <c r="I463" s="28">
        <v>10474.06208185271</v>
      </c>
      <c r="J463" s="29">
        <v>3.142218624555813E8</v>
      </c>
      <c r="K463" s="29">
        <v>10474.06208185271</v>
      </c>
      <c r="L463" s="30">
        <v>24991.85</v>
      </c>
      <c r="M463" s="29">
        <v>2.6176618844035062E8</v>
      </c>
      <c r="N463" s="31" t="s">
        <v>547</v>
      </c>
      <c r="O463" s="32"/>
      <c r="P463" s="33" t="str">
        <f t="array" ref="P463">IFERROR(
HYPERLINK(
"https://drive.google.com/file/d/"&amp;
XLOOKUP(O463,'Hoa-Don'!A:A,'Hoa-Don'!D:D)
&amp;"/view",
"🔎"
),
""
)</f>
        <v/>
      </c>
    </row>
    <row r="464" ht="22.5" customHeight="1">
      <c r="A464" s="21">
        <v>463.0</v>
      </c>
      <c r="B464" s="22">
        <v>42997.0</v>
      </c>
      <c r="C464" s="23">
        <v>228.0</v>
      </c>
      <c r="D464" s="24" t="s">
        <v>548</v>
      </c>
      <c r="E464" s="25" t="s">
        <v>11</v>
      </c>
      <c r="F464" s="26"/>
      <c r="G464" s="36" t="s">
        <v>42</v>
      </c>
      <c r="H464" s="28">
        <v>420.0</v>
      </c>
      <c r="I464" s="28">
        <v>11018.447652441979</v>
      </c>
      <c r="J464" s="29">
        <v>4627748.014025631</v>
      </c>
      <c r="K464" s="29">
        <v>11018.447652441979</v>
      </c>
      <c r="L464" s="30">
        <v>38811.09999999999</v>
      </c>
      <c r="M464" s="29">
        <v>4.276380736836908E8</v>
      </c>
      <c r="N464" s="31" t="s">
        <v>549</v>
      </c>
      <c r="O464" s="32"/>
      <c r="P464" s="33" t="str">
        <f t="array" ref="P464">IFERROR(
HYPERLINK(
"https://drive.google.com/file/d/"&amp;
XLOOKUP(O464,'Hoa-Don'!A:A,'Hoa-Don'!D:D)
&amp;"/view",
"🔎"
),
""
)</f>
        <v/>
      </c>
    </row>
    <row r="465" ht="22.5" customHeight="1">
      <c r="A465" s="21">
        <v>464.0</v>
      </c>
      <c r="B465" s="22">
        <v>42997.0</v>
      </c>
      <c r="C465" s="23">
        <v>228.0</v>
      </c>
      <c r="D465" s="24" t="s">
        <v>548</v>
      </c>
      <c r="E465" s="35" t="s">
        <v>18</v>
      </c>
      <c r="F465" s="26"/>
      <c r="G465" s="36" t="s">
        <v>42</v>
      </c>
      <c r="H465" s="28">
        <v>320.0</v>
      </c>
      <c r="I465" s="28">
        <v>10474.06208185271</v>
      </c>
      <c r="J465" s="29">
        <v>3351699.866192867</v>
      </c>
      <c r="K465" s="29">
        <v>10474.06208185271</v>
      </c>
      <c r="L465" s="30">
        <v>24671.85</v>
      </c>
      <c r="M465" s="29">
        <v>2.5841448857415774E8</v>
      </c>
      <c r="N465" s="31" t="s">
        <v>550</v>
      </c>
      <c r="O465" s="32"/>
      <c r="P465" s="33" t="str">
        <f t="array" ref="P465">IFERROR(
HYPERLINK(
"https://drive.google.com/file/d/"&amp;
XLOOKUP(O465,'Hoa-Don'!A:A,'Hoa-Don'!D:D)
&amp;"/view",
"🔎"
),
""
)</f>
        <v/>
      </c>
    </row>
    <row r="466" ht="22.5" customHeight="1">
      <c r="A466" s="21">
        <v>465.0</v>
      </c>
      <c r="B466" s="22">
        <v>43003.0</v>
      </c>
      <c r="C466" s="23">
        <v>229.0</v>
      </c>
      <c r="D466" s="24" t="s">
        <v>551</v>
      </c>
      <c r="E466" s="35" t="s">
        <v>18</v>
      </c>
      <c r="F466" s="26"/>
      <c r="G466" s="36" t="s">
        <v>42</v>
      </c>
      <c r="H466" s="28">
        <v>13400.0</v>
      </c>
      <c r="I466" s="28">
        <v>10474.06208185271</v>
      </c>
      <c r="J466" s="29">
        <v>1.403524318968263E8</v>
      </c>
      <c r="K466" s="29">
        <v>10474.06208185271</v>
      </c>
      <c r="L466" s="30">
        <v>11271.849999999999</v>
      </c>
      <c r="M466" s="29">
        <v>1.1806205667733145E8</v>
      </c>
      <c r="N466" s="31" t="s">
        <v>552</v>
      </c>
      <c r="O466" s="32"/>
      <c r="P466" s="33" t="str">
        <f t="array" ref="P466">IFERROR(
HYPERLINK(
"https://drive.google.com/file/d/"&amp;
XLOOKUP(O466,'Hoa-Don'!A:A,'Hoa-Don'!D:D)
&amp;"/view",
"🔎"
),
""
)</f>
        <v/>
      </c>
    </row>
    <row r="467" ht="22.5" customHeight="1">
      <c r="A467" s="21">
        <v>466.0</v>
      </c>
      <c r="B467" s="22">
        <v>43003.0</v>
      </c>
      <c r="C467" s="23">
        <v>229.0</v>
      </c>
      <c r="D467" s="24" t="s">
        <v>551</v>
      </c>
      <c r="E467" s="37" t="s">
        <v>16</v>
      </c>
      <c r="F467" s="26"/>
      <c r="G467" s="36" t="s">
        <v>42</v>
      </c>
      <c r="H467" s="28">
        <v>4616.0</v>
      </c>
      <c r="I467" s="28">
        <v>11696.633404377264</v>
      </c>
      <c r="J467" s="29">
        <v>5.399165979460545E7</v>
      </c>
      <c r="K467" s="29">
        <v>11696.633404377264</v>
      </c>
      <c r="L467" s="30">
        <v>551.0</v>
      </c>
      <c r="M467" s="29">
        <v>6444845.005811873</v>
      </c>
      <c r="N467" s="31" t="s">
        <v>553</v>
      </c>
      <c r="O467" s="32"/>
      <c r="P467" s="33" t="str">
        <f t="array" ref="P467">IFERROR(
HYPERLINK(
"https://drive.google.com/file/d/"&amp;
XLOOKUP(O467,'Hoa-Don'!A:A,'Hoa-Don'!D:D)
&amp;"/view",
"🔎"
),
""
)</f>
        <v/>
      </c>
    </row>
    <row r="468" ht="22.5" customHeight="1">
      <c r="A468" s="21">
        <v>467.0</v>
      </c>
      <c r="B468" s="22">
        <v>43014.0</v>
      </c>
      <c r="C468" s="23">
        <v>664.0</v>
      </c>
      <c r="D468" s="24" t="s">
        <v>402</v>
      </c>
      <c r="E468" s="35" t="s">
        <v>18</v>
      </c>
      <c r="F468" s="26"/>
      <c r="G468" s="27" t="s">
        <v>38</v>
      </c>
      <c r="H468" s="28">
        <v>8745.0</v>
      </c>
      <c r="I468" s="28">
        <v>11933.78</v>
      </c>
      <c r="J468" s="29">
        <v>1.0436090610000001E8</v>
      </c>
      <c r="K468" s="29">
        <v>11111.786458775056</v>
      </c>
      <c r="L468" s="30">
        <v>20016.85</v>
      </c>
      <c r="M468" s="29">
        <v>2.2242296277733147E8</v>
      </c>
      <c r="N468" s="31" t="s">
        <v>554</v>
      </c>
      <c r="O468" s="32"/>
      <c r="P468" s="33" t="str">
        <f t="array" ref="P468">IFERROR(
HYPERLINK(
"https://drive.google.com/file/d/"&amp;
XLOOKUP(O468,'Hoa-Don'!A:A,'Hoa-Don'!D:D)
&amp;"/view",
"🔎"
),
""
)</f>
        <v/>
      </c>
    </row>
    <row r="469" ht="22.5" customHeight="1">
      <c r="A469" s="21">
        <v>468.0</v>
      </c>
      <c r="B469" s="22">
        <v>43014.0</v>
      </c>
      <c r="C469" s="23">
        <v>230.0</v>
      </c>
      <c r="D469" s="24" t="s">
        <v>555</v>
      </c>
      <c r="E469" s="37" t="s">
        <v>16</v>
      </c>
      <c r="F469" s="26"/>
      <c r="G469" s="36" t="s">
        <v>42</v>
      </c>
      <c r="H469" s="28">
        <v>150.0</v>
      </c>
      <c r="I469" s="28">
        <v>11696.633404377264</v>
      </c>
      <c r="J469" s="29">
        <v>1754495.0106565896</v>
      </c>
      <c r="K469" s="29">
        <v>11696.633404377264</v>
      </c>
      <c r="L469" s="30">
        <v>401.0</v>
      </c>
      <c r="M469" s="29">
        <v>4690349.995155283</v>
      </c>
      <c r="N469" s="31" t="s">
        <v>556</v>
      </c>
      <c r="O469" s="32"/>
      <c r="P469" s="33" t="str">
        <f t="array" ref="P469">IFERROR(
HYPERLINK(
"https://drive.google.com/file/d/"&amp;
XLOOKUP(O469,'Hoa-Don'!A:A,'Hoa-Don'!D:D)
&amp;"/view",
"🔎"
),
""
)</f>
        <v/>
      </c>
    </row>
    <row r="470" ht="22.5" customHeight="1">
      <c r="A470" s="21">
        <v>469.0</v>
      </c>
      <c r="B470" s="22">
        <v>43018.0</v>
      </c>
      <c r="C470" s="23">
        <v>673.0</v>
      </c>
      <c r="D470" s="24" t="s">
        <v>402</v>
      </c>
      <c r="E470" s="35" t="s">
        <v>18</v>
      </c>
      <c r="F470" s="26"/>
      <c r="G470" s="27" t="s">
        <v>38</v>
      </c>
      <c r="H470" s="28">
        <v>6460.0</v>
      </c>
      <c r="I470" s="28">
        <v>11771.88</v>
      </c>
      <c r="J470" s="29">
        <v>7.60463448E7</v>
      </c>
      <c r="K470" s="29">
        <v>11272.840522091243</v>
      </c>
      <c r="L470" s="30">
        <v>26476.85</v>
      </c>
      <c r="M470" s="29">
        <v>2.984693075773315E8</v>
      </c>
      <c r="N470" s="31" t="s">
        <v>557</v>
      </c>
      <c r="O470" s="32"/>
      <c r="P470" s="33" t="str">
        <f t="array" ref="P470">IFERROR(
HYPERLINK(
"https://drive.google.com/file/d/"&amp;
XLOOKUP(O470,'Hoa-Don'!A:A,'Hoa-Don'!D:D)
&amp;"/view",
"🔎"
),
""
)</f>
        <v/>
      </c>
    </row>
    <row r="471" ht="22.5" customHeight="1">
      <c r="A471" s="21">
        <v>470.0</v>
      </c>
      <c r="B471" s="22">
        <v>43019.0</v>
      </c>
      <c r="C471" s="23">
        <v>675.0</v>
      </c>
      <c r="D471" s="24" t="s">
        <v>402</v>
      </c>
      <c r="E471" s="35" t="s">
        <v>18</v>
      </c>
      <c r="F471" s="26"/>
      <c r="G471" s="27" t="s">
        <v>38</v>
      </c>
      <c r="H471" s="28">
        <v>2310.0</v>
      </c>
      <c r="I471" s="28">
        <v>12000.0</v>
      </c>
      <c r="J471" s="29">
        <v>2.772E7</v>
      </c>
      <c r="K471" s="29">
        <v>11331.191414737337</v>
      </c>
      <c r="L471" s="30">
        <v>28786.85</v>
      </c>
      <c r="M471" s="29">
        <v>3.261893075773315E8</v>
      </c>
      <c r="N471" s="31" t="s">
        <v>558</v>
      </c>
      <c r="O471" s="32"/>
      <c r="P471" s="33" t="str">
        <f t="array" ref="P471">IFERROR(
HYPERLINK(
"https://drive.google.com/file/d/"&amp;
XLOOKUP(O471,'Hoa-Don'!A:A,'Hoa-Don'!D:D)
&amp;"/view",
"🔎"
),
""
)</f>
        <v/>
      </c>
    </row>
    <row r="472" ht="22.5" customHeight="1">
      <c r="A472" s="21">
        <v>471.0</v>
      </c>
      <c r="B472" s="22">
        <v>43020.0</v>
      </c>
      <c r="C472" s="23">
        <v>231.0</v>
      </c>
      <c r="D472" s="24" t="s">
        <v>63</v>
      </c>
      <c r="E472" s="35" t="s">
        <v>18</v>
      </c>
      <c r="F472" s="26"/>
      <c r="G472" s="36" t="s">
        <v>42</v>
      </c>
      <c r="H472" s="28">
        <v>95.0</v>
      </c>
      <c r="I472" s="28">
        <v>11331.191414737337</v>
      </c>
      <c r="J472" s="29">
        <v>1076463.184400047</v>
      </c>
      <c r="K472" s="29">
        <v>11331.191414737337</v>
      </c>
      <c r="L472" s="30">
        <v>28691.85</v>
      </c>
      <c r="M472" s="29">
        <v>3.2511284439293146E8</v>
      </c>
      <c r="N472" s="31" t="s">
        <v>559</v>
      </c>
      <c r="O472" s="32"/>
      <c r="P472" s="33" t="str">
        <f t="array" ref="P472">IFERROR(
HYPERLINK(
"https://drive.google.com/file/d/"&amp;
XLOOKUP(O472,'Hoa-Don'!A:A,'Hoa-Don'!D:D)
&amp;"/view",
"🔎"
),
""
)</f>
        <v/>
      </c>
    </row>
    <row r="473" ht="22.5" customHeight="1">
      <c r="A473" s="21">
        <v>472.0</v>
      </c>
      <c r="B473" s="22">
        <v>43020.0</v>
      </c>
      <c r="C473" s="23">
        <v>231.0</v>
      </c>
      <c r="D473" s="24" t="s">
        <v>63</v>
      </c>
      <c r="E473" s="35" t="s">
        <v>18</v>
      </c>
      <c r="F473" s="26"/>
      <c r="G473" s="36" t="s">
        <v>42</v>
      </c>
      <c r="H473" s="28">
        <v>50.0</v>
      </c>
      <c r="I473" s="28">
        <v>11331.191414737337</v>
      </c>
      <c r="J473" s="29">
        <v>566559.5707368669</v>
      </c>
      <c r="K473" s="29">
        <v>11331.191414737337</v>
      </c>
      <c r="L473" s="30">
        <v>28641.85</v>
      </c>
      <c r="M473" s="29">
        <v>3.245462848221946E8</v>
      </c>
      <c r="N473" s="31" t="s">
        <v>560</v>
      </c>
      <c r="O473" s="32"/>
      <c r="P473" s="33" t="str">
        <f t="array" ref="P473">IFERROR(
HYPERLINK(
"https://drive.google.com/file/d/"&amp;
XLOOKUP(O473,'Hoa-Don'!A:A,'Hoa-Don'!D:D)
&amp;"/view",
"🔎"
),
""
)</f>
        <v/>
      </c>
    </row>
    <row r="474" ht="22.5" customHeight="1">
      <c r="A474" s="21">
        <v>473.0</v>
      </c>
      <c r="B474" s="22">
        <v>43020.0</v>
      </c>
      <c r="C474" s="23">
        <v>231.0</v>
      </c>
      <c r="D474" s="24" t="s">
        <v>63</v>
      </c>
      <c r="E474" s="35" t="s">
        <v>18</v>
      </c>
      <c r="F474" s="26"/>
      <c r="G474" s="36" t="s">
        <v>42</v>
      </c>
      <c r="H474" s="28">
        <v>120.0</v>
      </c>
      <c r="I474" s="28">
        <v>11331.191414737337</v>
      </c>
      <c r="J474" s="29">
        <v>1359742.9697684804</v>
      </c>
      <c r="K474" s="29">
        <v>11331.191414737337</v>
      </c>
      <c r="L474" s="30">
        <v>28521.85</v>
      </c>
      <c r="M474" s="29">
        <v>3.231865418524261E8</v>
      </c>
      <c r="N474" s="31" t="s">
        <v>561</v>
      </c>
      <c r="O474" s="32"/>
      <c r="P474" s="33" t="str">
        <f t="array" ref="P474">IFERROR(
HYPERLINK(
"https://drive.google.com/file/d/"&amp;
XLOOKUP(O474,'Hoa-Don'!A:A,'Hoa-Don'!D:D)
&amp;"/view",
"🔎"
),
""
)</f>
        <v/>
      </c>
    </row>
    <row r="475" ht="22.5" customHeight="1">
      <c r="A475" s="21">
        <v>474.0</v>
      </c>
      <c r="B475" s="22">
        <v>43021.0</v>
      </c>
      <c r="C475" s="23">
        <v>232.0</v>
      </c>
      <c r="D475" s="24" t="s">
        <v>63</v>
      </c>
      <c r="E475" s="35" t="s">
        <v>18</v>
      </c>
      <c r="F475" s="26"/>
      <c r="G475" s="36" t="s">
        <v>42</v>
      </c>
      <c r="H475" s="28">
        <v>35.0</v>
      </c>
      <c r="I475" s="28">
        <v>11331.191414737337</v>
      </c>
      <c r="J475" s="29">
        <v>396591.6995158068</v>
      </c>
      <c r="K475" s="29">
        <v>11331.191414737337</v>
      </c>
      <c r="L475" s="30">
        <v>28486.85</v>
      </c>
      <c r="M475" s="29">
        <v>3.227899501529103E8</v>
      </c>
      <c r="N475" s="31" t="s">
        <v>562</v>
      </c>
      <c r="O475" s="32"/>
      <c r="P475" s="33" t="str">
        <f t="array" ref="P475">IFERROR(
HYPERLINK(
"https://drive.google.com/file/d/"&amp;
XLOOKUP(O475,'Hoa-Don'!A:A,'Hoa-Don'!D:D)
&amp;"/view",
"🔎"
),
""
)</f>
        <v/>
      </c>
    </row>
    <row r="476" ht="22.5" customHeight="1">
      <c r="A476" s="21">
        <v>475.0</v>
      </c>
      <c r="B476" s="22">
        <v>43021.0</v>
      </c>
      <c r="C476" s="23">
        <v>232.0</v>
      </c>
      <c r="D476" s="24" t="s">
        <v>63</v>
      </c>
      <c r="E476" s="25" t="s">
        <v>11</v>
      </c>
      <c r="F476" s="26"/>
      <c r="G476" s="36" t="s">
        <v>42</v>
      </c>
      <c r="H476" s="28">
        <v>25.0</v>
      </c>
      <c r="I476" s="28">
        <v>11018.447652441979</v>
      </c>
      <c r="J476" s="29">
        <v>275461.19131104945</v>
      </c>
      <c r="K476" s="29">
        <v>11018.447652441979</v>
      </c>
      <c r="L476" s="30">
        <v>38786.09999999999</v>
      </c>
      <c r="M476" s="29">
        <v>4.273626124923797E8</v>
      </c>
      <c r="N476" s="31" t="s">
        <v>563</v>
      </c>
      <c r="O476" s="32"/>
      <c r="P476" s="33" t="str">
        <f t="array" ref="P476">IFERROR(
HYPERLINK(
"https://drive.google.com/file/d/"&amp;
XLOOKUP(O476,'Hoa-Don'!A:A,'Hoa-Don'!D:D)
&amp;"/view",
"🔎"
),
""
)</f>
        <v/>
      </c>
    </row>
    <row r="477" ht="22.5" customHeight="1">
      <c r="A477" s="21">
        <v>476.0</v>
      </c>
      <c r="B477" s="22">
        <v>43024.0</v>
      </c>
      <c r="C477" s="23">
        <v>234.0</v>
      </c>
      <c r="D477" s="24" t="s">
        <v>564</v>
      </c>
      <c r="E477" s="25" t="s">
        <v>11</v>
      </c>
      <c r="F477" s="26"/>
      <c r="G477" s="36" t="s">
        <v>42</v>
      </c>
      <c r="H477" s="28">
        <v>1500.0</v>
      </c>
      <c r="I477" s="28">
        <v>11018.447652441979</v>
      </c>
      <c r="J477" s="29">
        <v>1.6527671478662968E7</v>
      </c>
      <c r="K477" s="29">
        <v>11018.447652441979</v>
      </c>
      <c r="L477" s="30">
        <v>37286.09999999999</v>
      </c>
      <c r="M477" s="29">
        <v>4.1083494101371676E8</v>
      </c>
      <c r="N477" s="31" t="s">
        <v>565</v>
      </c>
      <c r="O477" s="32"/>
      <c r="P477" s="33" t="str">
        <f t="array" ref="P477">IFERROR(
HYPERLINK(
"https://drive.google.com/file/d/"&amp;
XLOOKUP(O477,'Hoa-Don'!A:A,'Hoa-Don'!D:D)
&amp;"/view",
"🔎"
),
""
)</f>
        <v/>
      </c>
    </row>
    <row r="478" ht="22.5" customHeight="1">
      <c r="A478" s="21">
        <v>477.0</v>
      </c>
      <c r="B478" s="22">
        <v>43034.0</v>
      </c>
      <c r="C478" s="23">
        <v>155.0</v>
      </c>
      <c r="D478" s="24" t="s">
        <v>155</v>
      </c>
      <c r="E478" s="35" t="s">
        <v>18</v>
      </c>
      <c r="F478" s="26"/>
      <c r="G478" s="27" t="s">
        <v>38</v>
      </c>
      <c r="H478" s="28">
        <v>3386.8</v>
      </c>
      <c r="I478" s="28">
        <v>10909.27</v>
      </c>
      <c r="J478" s="29">
        <v>3.6947515636E7</v>
      </c>
      <c r="K478" s="29">
        <v>11286.3592901632</v>
      </c>
      <c r="L478" s="30">
        <v>31873.649999999998</v>
      </c>
      <c r="M478" s="29">
        <v>3.5973746578891027E8</v>
      </c>
      <c r="N478" s="31" t="s">
        <v>566</v>
      </c>
      <c r="O478" s="32"/>
      <c r="P478" s="33" t="str">
        <f t="array" ref="P478">IFERROR(
HYPERLINK(
"https://drive.google.com/file/d/"&amp;
XLOOKUP(O478,'Hoa-Don'!A:A,'Hoa-Don'!D:D)
&amp;"/view",
"🔎"
),
""
)</f>
        <v/>
      </c>
    </row>
    <row r="479" ht="22.5" customHeight="1">
      <c r="A479" s="21">
        <v>478.0</v>
      </c>
      <c r="B479" s="22">
        <v>43034.0</v>
      </c>
      <c r="C479" s="23">
        <v>219.0</v>
      </c>
      <c r="D479" s="24" t="s">
        <v>393</v>
      </c>
      <c r="E479" s="25" t="s">
        <v>11</v>
      </c>
      <c r="F479" s="26"/>
      <c r="G479" s="27" t="s">
        <v>38</v>
      </c>
      <c r="H479" s="28">
        <v>1435.0</v>
      </c>
      <c r="I479" s="28">
        <v>12578.4</v>
      </c>
      <c r="J479" s="29">
        <v>1.8050004E7</v>
      </c>
      <c r="K479" s="29">
        <v>11076.259326664709</v>
      </c>
      <c r="L479" s="30">
        <v>38721.09999999999</v>
      </c>
      <c r="M479" s="29">
        <v>4.2888494501371676E8</v>
      </c>
      <c r="N479" s="31" t="s">
        <v>567</v>
      </c>
      <c r="O479" s="32"/>
      <c r="P479" s="33" t="str">
        <f t="array" ref="P479">IFERROR(
HYPERLINK(
"https://drive.google.com/file/d/"&amp;
XLOOKUP(O479,'Hoa-Don'!A:A,'Hoa-Don'!D:D)
&amp;"/view",
"🔎"
),
""
)</f>
        <v/>
      </c>
    </row>
    <row r="480" ht="22.5" customHeight="1">
      <c r="A480" s="21">
        <v>479.0</v>
      </c>
      <c r="B480" s="22">
        <v>43034.0</v>
      </c>
      <c r="C480" s="23">
        <v>235.0</v>
      </c>
      <c r="D480" s="24" t="s">
        <v>568</v>
      </c>
      <c r="E480" s="37" t="s">
        <v>16</v>
      </c>
      <c r="F480" s="26"/>
      <c r="G480" s="36" t="s">
        <v>42</v>
      </c>
      <c r="H480" s="28">
        <v>231.0</v>
      </c>
      <c r="I480" s="28">
        <v>11696.633404377264</v>
      </c>
      <c r="J480" s="29">
        <v>2701922.316411148</v>
      </c>
      <c r="K480" s="29">
        <v>11696.633404377264</v>
      </c>
      <c r="L480" s="30">
        <v>170.0</v>
      </c>
      <c r="M480" s="29">
        <v>1988427.678744135</v>
      </c>
      <c r="N480" s="31" t="s">
        <v>569</v>
      </c>
      <c r="O480" s="32"/>
      <c r="P480" s="33" t="str">
        <f t="array" ref="P480">IFERROR(
HYPERLINK(
"https://drive.google.com/file/d/"&amp;
XLOOKUP(O480,'Hoa-Don'!A:A,'Hoa-Don'!D:D)
&amp;"/view",
"🔎"
),
""
)</f>
        <v/>
      </c>
    </row>
    <row r="481" ht="22.5" customHeight="1">
      <c r="A481" s="21">
        <v>480.0</v>
      </c>
      <c r="B481" s="22">
        <v>43038.0</v>
      </c>
      <c r="C481" s="23">
        <v>236.0</v>
      </c>
      <c r="D481" s="24" t="s">
        <v>93</v>
      </c>
      <c r="E481" s="25" t="s">
        <v>11</v>
      </c>
      <c r="F481" s="26"/>
      <c r="G481" s="36" t="s">
        <v>42</v>
      </c>
      <c r="H481" s="28">
        <v>11571.0</v>
      </c>
      <c r="I481" s="28">
        <v>11076.259326664709</v>
      </c>
      <c r="J481" s="29">
        <v>1.2816339666883735E8</v>
      </c>
      <c r="K481" s="29">
        <v>11076.259326664709</v>
      </c>
      <c r="L481" s="30">
        <v>27150.09999999999</v>
      </c>
      <c r="M481" s="29">
        <v>3.0072154834487945E8</v>
      </c>
      <c r="N481" s="31" t="s">
        <v>570</v>
      </c>
      <c r="O481" s="32"/>
      <c r="P481" s="33" t="str">
        <f t="array" ref="P481">IFERROR(
HYPERLINK(
"https://drive.google.com/file/d/"&amp;
XLOOKUP(O481,'Hoa-Don'!A:A,'Hoa-Don'!D:D)
&amp;"/view",
"🔎"
),
""
)</f>
        <v/>
      </c>
    </row>
    <row r="482" ht="22.5" customHeight="1">
      <c r="A482" s="21">
        <v>481.0</v>
      </c>
      <c r="B482" s="22">
        <v>43044.0</v>
      </c>
      <c r="C482" s="23">
        <v>237.0</v>
      </c>
      <c r="D482" s="24" t="s">
        <v>571</v>
      </c>
      <c r="E482" s="35" t="s">
        <v>18</v>
      </c>
      <c r="F482" s="26"/>
      <c r="G482" s="36" t="s">
        <v>42</v>
      </c>
      <c r="H482" s="28">
        <v>6287.4</v>
      </c>
      <c r="I482" s="28">
        <v>11286.3592901632</v>
      </c>
      <c r="J482" s="29">
        <v>7.09618554009721E7</v>
      </c>
      <c r="K482" s="29">
        <v>11286.3592901632</v>
      </c>
      <c r="L482" s="30">
        <v>25586.25</v>
      </c>
      <c r="M482" s="29">
        <v>2.887756103879382E8</v>
      </c>
      <c r="N482" s="31" t="s">
        <v>572</v>
      </c>
      <c r="O482" s="32"/>
      <c r="P482" s="33" t="str">
        <f t="array" ref="P482">IFERROR(
HYPERLINK(
"https://drive.google.com/file/d/"&amp;
XLOOKUP(O482,'Hoa-Don'!A:A,'Hoa-Don'!D:D)
&amp;"/view",
"🔎"
),
""
)</f>
        <v/>
      </c>
    </row>
    <row r="483" ht="22.5" customHeight="1">
      <c r="A483" s="21">
        <v>482.0</v>
      </c>
      <c r="B483" s="22">
        <v>43045.0</v>
      </c>
      <c r="C483" s="23">
        <v>246.0</v>
      </c>
      <c r="D483" s="24" t="s">
        <v>393</v>
      </c>
      <c r="E483" s="25" t="s">
        <v>11</v>
      </c>
      <c r="F483" s="26"/>
      <c r="G483" s="27" t="s">
        <v>38</v>
      </c>
      <c r="H483" s="28">
        <v>8630.0</v>
      </c>
      <c r="I483" s="28">
        <v>12727.27</v>
      </c>
      <c r="J483" s="29">
        <v>1.0983634010000001E8</v>
      </c>
      <c r="K483" s="29">
        <v>11474.475712613425</v>
      </c>
      <c r="L483" s="30">
        <v>35780.09999999999</v>
      </c>
      <c r="M483" s="29">
        <v>4.105578884448795E8</v>
      </c>
      <c r="N483" s="31" t="s">
        <v>573</v>
      </c>
      <c r="O483" s="32"/>
      <c r="P483" s="33" t="str">
        <f t="array" ref="P483">IFERROR(
HYPERLINK(
"https://drive.google.com/file/d/"&amp;
XLOOKUP(O483,'Hoa-Don'!A:A,'Hoa-Don'!D:D)
&amp;"/view",
"🔎"
),
""
)</f>
        <v/>
      </c>
    </row>
    <row r="484" ht="22.5" customHeight="1">
      <c r="A484" s="21">
        <v>483.0</v>
      </c>
      <c r="B484" s="22">
        <v>43045.0</v>
      </c>
      <c r="C484" s="23">
        <v>238.0</v>
      </c>
      <c r="D484" s="24" t="s">
        <v>37</v>
      </c>
      <c r="E484" s="35" t="s">
        <v>18</v>
      </c>
      <c r="F484" s="26"/>
      <c r="G484" s="36" t="s">
        <v>42</v>
      </c>
      <c r="H484" s="28">
        <v>1418.0</v>
      </c>
      <c r="I484" s="28">
        <v>11286.3592901632</v>
      </c>
      <c r="J484" s="29">
        <v>1.6004057473451417E7</v>
      </c>
      <c r="K484" s="29">
        <v>11286.3592901632</v>
      </c>
      <c r="L484" s="30">
        <v>24168.25</v>
      </c>
      <c r="M484" s="29">
        <v>2.7277155291448677E8</v>
      </c>
      <c r="N484" s="31" t="s">
        <v>574</v>
      </c>
      <c r="O484" s="32"/>
      <c r="P484" s="33" t="str">
        <f t="array" ref="P484">IFERROR(
HYPERLINK(
"https://drive.google.com/file/d/"&amp;
XLOOKUP(O484,'Hoa-Don'!A:A,'Hoa-Don'!D:D)
&amp;"/view",
"🔎"
),
""
)</f>
        <v/>
      </c>
    </row>
    <row r="485" ht="22.5" customHeight="1">
      <c r="A485" s="21">
        <v>484.0</v>
      </c>
      <c r="B485" s="22">
        <v>43047.0</v>
      </c>
      <c r="C485" s="23">
        <v>240.0</v>
      </c>
      <c r="D485" s="24" t="s">
        <v>568</v>
      </c>
      <c r="E485" s="25" t="s">
        <v>11</v>
      </c>
      <c r="F485" s="26"/>
      <c r="G485" s="36" t="s">
        <v>42</v>
      </c>
      <c r="H485" s="28">
        <v>1280.0</v>
      </c>
      <c r="I485" s="28">
        <v>11474.475712613425</v>
      </c>
      <c r="J485" s="29">
        <v>1.4687328912145182E7</v>
      </c>
      <c r="K485" s="29">
        <v>11474.475712613425</v>
      </c>
      <c r="L485" s="30">
        <v>34500.09999999999</v>
      </c>
      <c r="M485" s="29">
        <v>3.9587055953273433E8</v>
      </c>
      <c r="N485" s="31" t="s">
        <v>575</v>
      </c>
      <c r="O485" s="32"/>
      <c r="P485" s="33" t="str">
        <f t="array" ref="P485">IFERROR(
HYPERLINK(
"https://drive.google.com/file/d/"&amp;
XLOOKUP(O485,'Hoa-Don'!A:A,'Hoa-Don'!D:D)
&amp;"/view",
"🔎"
),
""
)</f>
        <v/>
      </c>
    </row>
    <row r="486" ht="22.5" customHeight="1">
      <c r="A486" s="21">
        <v>485.0</v>
      </c>
      <c r="B486" s="22">
        <v>43048.0</v>
      </c>
      <c r="C486" s="23">
        <v>241.0</v>
      </c>
      <c r="D486" s="24" t="s">
        <v>568</v>
      </c>
      <c r="E486" s="25" t="s">
        <v>11</v>
      </c>
      <c r="F486" s="26"/>
      <c r="G486" s="36" t="s">
        <v>42</v>
      </c>
      <c r="H486" s="28">
        <v>1290.0</v>
      </c>
      <c r="I486" s="28">
        <v>11474.475712613425</v>
      </c>
      <c r="J486" s="29">
        <v>1.4802073669271318E7</v>
      </c>
      <c r="K486" s="29">
        <v>11474.475712613425</v>
      </c>
      <c r="L486" s="30">
        <v>33210.09999999999</v>
      </c>
      <c r="M486" s="29">
        <v>3.81068485863463E8</v>
      </c>
      <c r="N486" s="31" t="s">
        <v>576</v>
      </c>
      <c r="O486" s="32"/>
      <c r="P486" s="33" t="str">
        <f t="array" ref="P486">IFERROR(
HYPERLINK(
"https://drive.google.com/file/d/"&amp;
XLOOKUP(O486,'Hoa-Don'!A:A,'Hoa-Don'!D:D)
&amp;"/view",
"🔎"
),
""
)</f>
        <v/>
      </c>
    </row>
    <row r="487" ht="22.5" customHeight="1">
      <c r="A487" s="21">
        <v>486.0</v>
      </c>
      <c r="B487" s="22">
        <v>43049.0</v>
      </c>
      <c r="C487" s="23">
        <v>242.0</v>
      </c>
      <c r="D487" s="24" t="s">
        <v>568</v>
      </c>
      <c r="E487" s="25" t="s">
        <v>11</v>
      </c>
      <c r="F487" s="26"/>
      <c r="G487" s="36" t="s">
        <v>42</v>
      </c>
      <c r="H487" s="28">
        <v>314.0</v>
      </c>
      <c r="I487" s="28">
        <v>11474.475712613425</v>
      </c>
      <c r="J487" s="29">
        <v>3602985.3737606155</v>
      </c>
      <c r="K487" s="29">
        <v>11474.475712613425</v>
      </c>
      <c r="L487" s="30">
        <v>32896.09999999999</v>
      </c>
      <c r="M487" s="29">
        <v>3.774655004897024E8</v>
      </c>
      <c r="N487" s="31" t="s">
        <v>577</v>
      </c>
      <c r="O487" s="32"/>
      <c r="P487" s="33" t="str">
        <f t="array" ref="P487">IFERROR(
HYPERLINK(
"https://drive.google.com/file/d/"&amp;
XLOOKUP(O487,'Hoa-Don'!A:A,'Hoa-Don'!D:D)
&amp;"/view",
"🔎"
),
""
)</f>
        <v/>
      </c>
    </row>
    <row r="488" ht="22.5" customHeight="1">
      <c r="A488" s="21">
        <v>487.0</v>
      </c>
      <c r="B488" s="22">
        <v>43049.0</v>
      </c>
      <c r="C488" s="23">
        <v>242.0</v>
      </c>
      <c r="D488" s="24" t="s">
        <v>568</v>
      </c>
      <c r="E488" s="25" t="s">
        <v>11</v>
      </c>
      <c r="F488" s="26"/>
      <c r="G488" s="36" t="s">
        <v>42</v>
      </c>
      <c r="H488" s="28">
        <v>594.0</v>
      </c>
      <c r="I488" s="28">
        <v>11474.475712613425</v>
      </c>
      <c r="J488" s="29">
        <v>6815838.573292375</v>
      </c>
      <c r="K488" s="29">
        <v>11474.475712613425</v>
      </c>
      <c r="L488" s="30">
        <v>32302.09999999999</v>
      </c>
      <c r="M488" s="29">
        <v>3.7064966191641E8</v>
      </c>
      <c r="N488" s="31" t="s">
        <v>578</v>
      </c>
      <c r="O488" s="32"/>
      <c r="P488" s="33" t="str">
        <f t="array" ref="P488">IFERROR(
HYPERLINK(
"https://drive.google.com/file/d/"&amp;
XLOOKUP(O488,'Hoa-Don'!A:A,'Hoa-Don'!D:D)
&amp;"/view",
"🔎"
),
""
)</f>
        <v/>
      </c>
    </row>
    <row r="489" ht="22.5" customHeight="1">
      <c r="A489" s="21">
        <v>488.0</v>
      </c>
      <c r="B489" s="22">
        <v>43050.0</v>
      </c>
      <c r="C489" s="23">
        <v>269.0</v>
      </c>
      <c r="D489" s="24" t="s">
        <v>393</v>
      </c>
      <c r="E489" s="25" t="s">
        <v>11</v>
      </c>
      <c r="F489" s="26"/>
      <c r="G489" s="27" t="s">
        <v>38</v>
      </c>
      <c r="H489" s="28">
        <v>1300.0</v>
      </c>
      <c r="I489" s="28">
        <v>12818.18</v>
      </c>
      <c r="J489" s="29">
        <v>1.6663634E7</v>
      </c>
      <c r="K489" s="29">
        <v>11526.461022269743</v>
      </c>
      <c r="L489" s="30">
        <v>33602.09999999999</v>
      </c>
      <c r="M489" s="29">
        <v>3.8731329591641E8</v>
      </c>
      <c r="N489" s="31" t="s">
        <v>579</v>
      </c>
      <c r="O489" s="32"/>
      <c r="P489" s="33" t="str">
        <f t="array" ref="P489">IFERROR(
HYPERLINK(
"https://drive.google.com/file/d/"&amp;
XLOOKUP(O489,'Hoa-Don'!A:A,'Hoa-Don'!D:D)
&amp;"/view",
"🔎"
),
""
)</f>
        <v/>
      </c>
    </row>
    <row r="490" ht="22.5" customHeight="1">
      <c r="A490" s="21">
        <v>489.0</v>
      </c>
      <c r="B490" s="22">
        <v>43050.0</v>
      </c>
      <c r="C490" s="23">
        <v>243.0</v>
      </c>
      <c r="D490" s="24" t="s">
        <v>568</v>
      </c>
      <c r="E490" s="25" t="s">
        <v>11</v>
      </c>
      <c r="F490" s="26"/>
      <c r="G490" s="36" t="s">
        <v>42</v>
      </c>
      <c r="H490" s="28">
        <v>617.0</v>
      </c>
      <c r="I490" s="28">
        <v>11526.461022269743</v>
      </c>
      <c r="J490" s="29">
        <v>7111826.450740431</v>
      </c>
      <c r="K490" s="29">
        <v>11526.461022269743</v>
      </c>
      <c r="L490" s="30">
        <v>32985.09999999999</v>
      </c>
      <c r="M490" s="29">
        <v>3.802014694656696E8</v>
      </c>
      <c r="N490" s="31" t="s">
        <v>580</v>
      </c>
      <c r="O490" s="32"/>
      <c r="P490" s="33" t="str">
        <f t="array" ref="P490">IFERROR(
HYPERLINK(
"https://drive.google.com/file/d/"&amp;
XLOOKUP(O490,'Hoa-Don'!A:A,'Hoa-Don'!D:D)
&amp;"/view",
"🔎"
),
""
)</f>
        <v/>
      </c>
    </row>
    <row r="491" ht="22.5" customHeight="1">
      <c r="A491" s="21">
        <v>490.0</v>
      </c>
      <c r="B491" s="22">
        <v>43051.0</v>
      </c>
      <c r="C491" s="23">
        <v>244.0</v>
      </c>
      <c r="D491" s="24" t="s">
        <v>581</v>
      </c>
      <c r="E491" s="25" t="s">
        <v>11</v>
      </c>
      <c r="F491" s="26"/>
      <c r="G491" s="36" t="s">
        <v>42</v>
      </c>
      <c r="H491" s="28">
        <v>1350.0</v>
      </c>
      <c r="I491" s="28">
        <v>11526.461022269743</v>
      </c>
      <c r="J491" s="29">
        <v>1.5560722380064152E7</v>
      </c>
      <c r="K491" s="29">
        <v>11526.461022269743</v>
      </c>
      <c r="L491" s="30">
        <v>31635.09999999999</v>
      </c>
      <c r="M491" s="29">
        <v>3.6464074708560544E8</v>
      </c>
      <c r="N491" s="31" t="s">
        <v>582</v>
      </c>
      <c r="O491" s="32"/>
      <c r="P491" s="33" t="str">
        <f t="array" ref="P491">IFERROR(
HYPERLINK(
"https://drive.google.com/file/d/"&amp;
XLOOKUP(O491,'Hoa-Don'!A:A,'Hoa-Don'!D:D)
&amp;"/view",
"🔎"
),
""
)</f>
        <v/>
      </c>
    </row>
    <row r="492" ht="22.5" customHeight="1">
      <c r="A492" s="21">
        <v>491.0</v>
      </c>
      <c r="B492" s="22">
        <v>43052.0</v>
      </c>
      <c r="C492" s="23">
        <v>273.0</v>
      </c>
      <c r="D492" s="24" t="s">
        <v>393</v>
      </c>
      <c r="E492" s="25" t="s">
        <v>11</v>
      </c>
      <c r="F492" s="26"/>
      <c r="G492" s="27" t="s">
        <v>38</v>
      </c>
      <c r="H492" s="28">
        <v>1250.0</v>
      </c>
      <c r="I492" s="28">
        <v>12818.18</v>
      </c>
      <c r="J492" s="29">
        <v>1.6022725E7</v>
      </c>
      <c r="K492" s="29">
        <v>11575.560727673188</v>
      </c>
      <c r="L492" s="30">
        <v>32885.09999999999</v>
      </c>
      <c r="M492" s="29">
        <v>3.8066347208560544E8</v>
      </c>
      <c r="N492" s="31" t="s">
        <v>583</v>
      </c>
      <c r="O492" s="32"/>
      <c r="P492" s="33" t="str">
        <f t="array" ref="P492">IFERROR(
HYPERLINK(
"https://drive.google.com/file/d/"&amp;
XLOOKUP(O492,'Hoa-Don'!A:A,'Hoa-Don'!D:D)
&amp;"/view",
"🔎"
),
""
)</f>
        <v/>
      </c>
    </row>
    <row r="493" ht="22.5" customHeight="1">
      <c r="A493" s="21">
        <v>492.0</v>
      </c>
      <c r="B493" s="22">
        <v>43053.0</v>
      </c>
      <c r="C493" s="23">
        <v>284.0</v>
      </c>
      <c r="D493" s="24" t="s">
        <v>393</v>
      </c>
      <c r="E493" s="25" t="s">
        <v>11</v>
      </c>
      <c r="F493" s="26"/>
      <c r="G493" s="27" t="s">
        <v>38</v>
      </c>
      <c r="H493" s="28">
        <v>1200.0</v>
      </c>
      <c r="I493" s="28">
        <v>12818.18</v>
      </c>
      <c r="J493" s="29">
        <v>1.5381816E7</v>
      </c>
      <c r="K493" s="29">
        <v>11619.30838065916</v>
      </c>
      <c r="L493" s="30">
        <v>34085.09999999999</v>
      </c>
      <c r="M493" s="29">
        <v>3.9604528808560544E8</v>
      </c>
      <c r="N493" s="31" t="s">
        <v>584</v>
      </c>
      <c r="O493" s="32"/>
      <c r="P493" s="33" t="str">
        <f t="array" ref="P493">IFERROR(
HYPERLINK(
"https://drive.google.com/file/d/"&amp;
XLOOKUP(O493,'Hoa-Don'!A:A,'Hoa-Don'!D:D)
&amp;"/view",
"🔎"
),
""
)</f>
        <v/>
      </c>
    </row>
    <row r="494" ht="22.5" customHeight="1">
      <c r="A494" s="21">
        <v>493.0</v>
      </c>
      <c r="B494" s="22">
        <v>43054.0</v>
      </c>
      <c r="C494" s="23">
        <v>288.0</v>
      </c>
      <c r="D494" s="24" t="s">
        <v>393</v>
      </c>
      <c r="E494" s="25" t="s">
        <v>11</v>
      </c>
      <c r="F494" s="26"/>
      <c r="G494" s="27" t="s">
        <v>38</v>
      </c>
      <c r="H494" s="28">
        <v>1100.0</v>
      </c>
      <c r="I494" s="28">
        <v>12818.18</v>
      </c>
      <c r="J494" s="29">
        <v>1.4099998E7</v>
      </c>
      <c r="K494" s="29">
        <v>11656.788984132645</v>
      </c>
      <c r="L494" s="30">
        <v>35185.09999999999</v>
      </c>
      <c r="M494" s="29">
        <v>4.1014528608560544E8</v>
      </c>
      <c r="N494" s="31" t="s">
        <v>585</v>
      </c>
      <c r="O494" s="32"/>
      <c r="P494" s="33" t="str">
        <f t="array" ref="P494">IFERROR(
HYPERLINK(
"https://drive.google.com/file/d/"&amp;
XLOOKUP(O494,'Hoa-Don'!A:A,'Hoa-Don'!D:D)
&amp;"/view",
"🔎"
),
""
)</f>
        <v/>
      </c>
    </row>
    <row r="495" ht="22.5" customHeight="1">
      <c r="A495" s="21">
        <v>494.0</v>
      </c>
      <c r="B495" s="22">
        <v>43055.0</v>
      </c>
      <c r="C495" s="23">
        <v>289.0</v>
      </c>
      <c r="D495" s="24" t="s">
        <v>393</v>
      </c>
      <c r="E495" s="25" t="s">
        <v>11</v>
      </c>
      <c r="F495" s="26"/>
      <c r="G495" s="27" t="s">
        <v>38</v>
      </c>
      <c r="H495" s="28">
        <v>1090.0</v>
      </c>
      <c r="I495" s="28">
        <v>12818.18</v>
      </c>
      <c r="J495" s="29">
        <v>1.3971816200000001E7</v>
      </c>
      <c r="K495" s="29">
        <v>11691.686646917735</v>
      </c>
      <c r="L495" s="30">
        <v>36275.09999999999</v>
      </c>
      <c r="M495" s="29">
        <v>4.2411710228560543E8</v>
      </c>
      <c r="N495" s="31" t="s">
        <v>586</v>
      </c>
      <c r="O495" s="32"/>
      <c r="P495" s="33" t="str">
        <f t="array" ref="P495">IFERROR(
HYPERLINK(
"https://drive.google.com/file/d/"&amp;
XLOOKUP(O495,'Hoa-Don'!A:A,'Hoa-Don'!D:D)
&amp;"/view",
"🔎"
),
""
)</f>
        <v/>
      </c>
    </row>
    <row r="496" ht="22.5" customHeight="1">
      <c r="A496" s="21">
        <v>495.0</v>
      </c>
      <c r="B496" s="22">
        <v>43055.0</v>
      </c>
      <c r="C496" s="23">
        <v>2202.0</v>
      </c>
      <c r="D496" s="24" t="s">
        <v>253</v>
      </c>
      <c r="E496" s="25" t="s">
        <v>11</v>
      </c>
      <c r="F496" s="26"/>
      <c r="G496" s="27" t="s">
        <v>38</v>
      </c>
      <c r="H496" s="28">
        <v>5568.0</v>
      </c>
      <c r="I496" s="28">
        <v>13454.55</v>
      </c>
      <c r="J496" s="29">
        <v>7.491493439999999E7</v>
      </c>
      <c r="K496" s="29">
        <v>11926.268290007325</v>
      </c>
      <c r="L496" s="30">
        <v>41843.09999999999</v>
      </c>
      <c r="M496" s="29">
        <v>4.990320366856054E8</v>
      </c>
      <c r="N496" s="31" t="s">
        <v>587</v>
      </c>
      <c r="O496" s="32"/>
      <c r="P496" s="33" t="str">
        <f t="array" ref="P496">IFERROR(
HYPERLINK(
"https://drive.google.com/file/d/"&amp;
XLOOKUP(O496,'Hoa-Don'!A:A,'Hoa-Don'!D:D)
&amp;"/view",
"🔎"
),
""
)</f>
        <v/>
      </c>
    </row>
    <row r="497" ht="22.5" customHeight="1">
      <c r="A497" s="21">
        <v>496.0</v>
      </c>
      <c r="B497" s="22">
        <v>43055.0</v>
      </c>
      <c r="C497" s="23">
        <v>2202.0</v>
      </c>
      <c r="D497" s="24" t="s">
        <v>253</v>
      </c>
      <c r="E497" s="25" t="s">
        <v>11</v>
      </c>
      <c r="F497" s="26"/>
      <c r="G497" s="27" t="s">
        <v>38</v>
      </c>
      <c r="H497" s="28">
        <v>3330.0</v>
      </c>
      <c r="I497" s="28">
        <v>12525.45</v>
      </c>
      <c r="J497" s="29">
        <v>4.17097485E7</v>
      </c>
      <c r="K497" s="29">
        <v>11970.437831045589</v>
      </c>
      <c r="L497" s="30">
        <v>45173.09999999999</v>
      </c>
      <c r="M497" s="29">
        <v>5.407417851856054E8</v>
      </c>
      <c r="N497" s="31" t="s">
        <v>588</v>
      </c>
      <c r="O497" s="32"/>
      <c r="P497" s="33" t="str">
        <f t="array" ref="P497">IFERROR(
HYPERLINK(
"https://drive.google.com/file/d/"&amp;
XLOOKUP(O497,'Hoa-Don'!A:A,'Hoa-Don'!D:D)
&amp;"/view",
"🔎"
),
""
)</f>
        <v/>
      </c>
    </row>
    <row r="498" ht="22.5" customHeight="1">
      <c r="A498" s="21">
        <v>497.0</v>
      </c>
      <c r="B498" s="22">
        <v>43056.0</v>
      </c>
      <c r="C498" s="23">
        <v>2207.0</v>
      </c>
      <c r="D498" s="24" t="s">
        <v>253</v>
      </c>
      <c r="E498" s="25" t="s">
        <v>11</v>
      </c>
      <c r="F498" s="26"/>
      <c r="G498" s="27" t="s">
        <v>38</v>
      </c>
      <c r="H498" s="28">
        <v>1934.0</v>
      </c>
      <c r="I498" s="28">
        <v>13454.55</v>
      </c>
      <c r="J498" s="29">
        <v>2.60210997E7</v>
      </c>
      <c r="K498" s="29">
        <v>12031.368623532451</v>
      </c>
      <c r="L498" s="30">
        <v>47107.09999999999</v>
      </c>
      <c r="M498" s="29">
        <v>5.667628848856055E8</v>
      </c>
      <c r="N498" s="31" t="s">
        <v>589</v>
      </c>
      <c r="O498" s="32"/>
      <c r="P498" s="33" t="str">
        <f t="array" ref="P498">IFERROR(
HYPERLINK(
"https://drive.google.com/file/d/"&amp;
XLOOKUP(O498,'Hoa-Don'!A:A,'Hoa-Don'!D:D)
&amp;"/view",
"🔎"
),
""
)</f>
        <v/>
      </c>
    </row>
    <row r="499" ht="22.5" customHeight="1">
      <c r="A499" s="21">
        <v>498.0</v>
      </c>
      <c r="B499" s="22">
        <v>43056.0</v>
      </c>
      <c r="C499" s="23">
        <v>2709.0</v>
      </c>
      <c r="D499" s="24" t="s">
        <v>590</v>
      </c>
      <c r="E499" s="37" t="s">
        <v>16</v>
      </c>
      <c r="F499" s="26"/>
      <c r="G499" s="27" t="s">
        <v>38</v>
      </c>
      <c r="H499" s="28">
        <v>980.0</v>
      </c>
      <c r="I499" s="28">
        <v>14634.35</v>
      </c>
      <c r="J499" s="29">
        <v>1.4341663E7</v>
      </c>
      <c r="K499" s="29">
        <v>14200.078851081857</v>
      </c>
      <c r="L499" s="30">
        <v>1150.0</v>
      </c>
      <c r="M499" s="29">
        <v>1.6330090678744135E7</v>
      </c>
      <c r="N499" s="31" t="s">
        <v>591</v>
      </c>
      <c r="O499" s="32"/>
      <c r="P499" s="33" t="str">
        <f t="array" ref="P499">IFERROR(
HYPERLINK(
"https://drive.google.com/file/d/"&amp;
XLOOKUP(O499,'Hoa-Don'!A:A,'Hoa-Don'!D:D)
&amp;"/view",
"🔎"
),
""
)</f>
        <v/>
      </c>
    </row>
    <row r="500" ht="22.5" customHeight="1">
      <c r="A500" s="21">
        <v>499.0</v>
      </c>
      <c r="B500" s="22">
        <v>43057.0</v>
      </c>
      <c r="C500" s="23">
        <v>2721.0</v>
      </c>
      <c r="D500" s="24" t="s">
        <v>590</v>
      </c>
      <c r="E500" s="37" t="s">
        <v>16</v>
      </c>
      <c r="F500" s="26"/>
      <c r="G500" s="27" t="s">
        <v>38</v>
      </c>
      <c r="H500" s="28">
        <v>988.0</v>
      </c>
      <c r="I500" s="28">
        <v>14634.35</v>
      </c>
      <c r="J500" s="29">
        <v>1.44587378E7</v>
      </c>
      <c r="K500" s="29">
        <v>14400.76168322925</v>
      </c>
      <c r="L500" s="30">
        <v>2138.0</v>
      </c>
      <c r="M500" s="29">
        <v>3.0788828478744134E7</v>
      </c>
      <c r="N500" s="31" t="s">
        <v>592</v>
      </c>
      <c r="O500" s="32"/>
      <c r="P500" s="33" t="str">
        <f t="array" ref="P500">IFERROR(
HYPERLINK(
"https://drive.google.com/file/d/"&amp;
XLOOKUP(O500,'Hoa-Don'!A:A,'Hoa-Don'!D:D)
&amp;"/view",
"🔎"
),
""
)</f>
        <v/>
      </c>
    </row>
    <row r="501" ht="22.5" customHeight="1">
      <c r="A501" s="21">
        <v>500.0</v>
      </c>
      <c r="B501" s="22">
        <v>43057.0</v>
      </c>
      <c r="C501" s="23">
        <v>245.0</v>
      </c>
      <c r="D501" s="24" t="s">
        <v>93</v>
      </c>
      <c r="E501" s="35" t="s">
        <v>18</v>
      </c>
      <c r="F501" s="26"/>
      <c r="G501" s="36" t="s">
        <v>42</v>
      </c>
      <c r="H501" s="28">
        <v>7092.3</v>
      </c>
      <c r="I501" s="28">
        <v>11286.3592901632</v>
      </c>
      <c r="J501" s="29">
        <v>8.004624599362446E7</v>
      </c>
      <c r="K501" s="29">
        <v>11286.3592901632</v>
      </c>
      <c r="L501" s="30">
        <v>17075.95</v>
      </c>
      <c r="M501" s="29">
        <v>1.9272530692086232E8</v>
      </c>
      <c r="N501" s="31" t="s">
        <v>593</v>
      </c>
      <c r="O501" s="32"/>
      <c r="P501" s="33" t="str">
        <f t="array" ref="P501">IFERROR(
HYPERLINK(
"https://drive.google.com/file/d/"&amp;
XLOOKUP(O501,'Hoa-Don'!A:A,'Hoa-Don'!D:D)
&amp;"/view",
"🔎"
),
""
)</f>
        <v/>
      </c>
    </row>
    <row r="502" ht="22.5" customHeight="1">
      <c r="A502" s="21">
        <v>501.0</v>
      </c>
      <c r="B502" s="22">
        <v>43059.0</v>
      </c>
      <c r="C502" s="23">
        <v>161.0</v>
      </c>
      <c r="D502" s="24" t="s">
        <v>155</v>
      </c>
      <c r="E502" s="35" t="s">
        <v>18</v>
      </c>
      <c r="F502" s="26"/>
      <c r="G502" s="27" t="s">
        <v>38</v>
      </c>
      <c r="H502" s="28">
        <v>2270.0</v>
      </c>
      <c r="I502" s="28">
        <v>11363.64</v>
      </c>
      <c r="J502" s="29">
        <v>2.5795462799999997E7</v>
      </c>
      <c r="K502" s="29">
        <v>11295.427193849995</v>
      </c>
      <c r="L502" s="30">
        <v>19345.95</v>
      </c>
      <c r="M502" s="29">
        <v>2.1852076972086233E8</v>
      </c>
      <c r="N502" s="31" t="s">
        <v>594</v>
      </c>
      <c r="O502" s="32"/>
      <c r="P502" s="33" t="str">
        <f t="array" ref="P502">IFERROR(
HYPERLINK(
"https://drive.google.com/file/d/"&amp;
XLOOKUP(O502,'Hoa-Don'!A:A,'Hoa-Don'!D:D)
&amp;"/view",
"🔎"
),
""
)</f>
        <v/>
      </c>
    </row>
    <row r="503" ht="22.5" customHeight="1">
      <c r="A503" s="21">
        <v>502.0</v>
      </c>
      <c r="B503" s="22">
        <v>43059.0</v>
      </c>
      <c r="C503" s="23">
        <v>2725.0</v>
      </c>
      <c r="D503" s="24" t="s">
        <v>590</v>
      </c>
      <c r="E503" s="37" t="s">
        <v>16</v>
      </c>
      <c r="F503" s="26"/>
      <c r="G503" s="27" t="s">
        <v>38</v>
      </c>
      <c r="H503" s="28">
        <v>992.0</v>
      </c>
      <c r="I503" s="28">
        <v>14634.35</v>
      </c>
      <c r="J503" s="29">
        <v>1.4517275200000001E7</v>
      </c>
      <c r="K503" s="29">
        <v>14474.793507585986</v>
      </c>
      <c r="L503" s="30">
        <v>3130.0</v>
      </c>
      <c r="M503" s="29">
        <v>4.530610367874414E7</v>
      </c>
      <c r="N503" s="31" t="s">
        <v>595</v>
      </c>
      <c r="O503" s="32"/>
      <c r="P503" s="33" t="str">
        <f t="array" ref="P503">IFERROR(
HYPERLINK(
"https://drive.google.com/file/d/"&amp;
XLOOKUP(O503,'Hoa-Don'!A:A,'Hoa-Don'!D:D)
&amp;"/view",
"🔎"
),
""
)</f>
        <v/>
      </c>
    </row>
    <row r="504" ht="22.5" customHeight="1">
      <c r="A504" s="21">
        <v>503.0</v>
      </c>
      <c r="B504" s="22">
        <v>43059.0</v>
      </c>
      <c r="C504" s="23">
        <v>246.0</v>
      </c>
      <c r="D504" s="24" t="s">
        <v>93</v>
      </c>
      <c r="E504" s="25" t="s">
        <v>11</v>
      </c>
      <c r="F504" s="26"/>
      <c r="G504" s="36" t="s">
        <v>42</v>
      </c>
      <c r="H504" s="28">
        <v>6940.0</v>
      </c>
      <c r="I504" s="28">
        <v>12031.368623532451</v>
      </c>
      <c r="J504" s="29">
        <v>8.349769824731521E7</v>
      </c>
      <c r="K504" s="29">
        <v>12031.368623532451</v>
      </c>
      <c r="L504" s="30">
        <v>40167.09999999999</v>
      </c>
      <c r="M504" s="29">
        <v>4.832651866382902E8</v>
      </c>
      <c r="N504" s="31" t="s">
        <v>596</v>
      </c>
      <c r="O504" s="32"/>
      <c r="P504" s="33" t="str">
        <f t="array" ref="P504">IFERROR(
HYPERLINK(
"https://drive.google.com/file/d/"&amp;
XLOOKUP(O504,'Hoa-Don'!A:A,'Hoa-Don'!D:D)
&amp;"/view",
"🔎"
),
""
)</f>
        <v/>
      </c>
    </row>
    <row r="505" ht="22.5" customHeight="1">
      <c r="A505" s="21">
        <v>504.0</v>
      </c>
      <c r="B505" s="22">
        <v>43060.0</v>
      </c>
      <c r="C505" s="23">
        <v>2732.0</v>
      </c>
      <c r="D505" s="24" t="s">
        <v>590</v>
      </c>
      <c r="E505" s="37" t="s">
        <v>16</v>
      </c>
      <c r="F505" s="26"/>
      <c r="G505" s="27" t="s">
        <v>38</v>
      </c>
      <c r="H505" s="28">
        <v>1008.0</v>
      </c>
      <c r="I505" s="28">
        <v>14634.35</v>
      </c>
      <c r="J505" s="29">
        <v>1.47514248E7</v>
      </c>
      <c r="K505" s="29">
        <v>14513.660821349476</v>
      </c>
      <c r="L505" s="30">
        <v>4138.0</v>
      </c>
      <c r="M505" s="29">
        <v>6.0057528478744134E7</v>
      </c>
      <c r="N505" s="31" t="s">
        <v>597</v>
      </c>
      <c r="O505" s="32"/>
      <c r="P505" s="33" t="str">
        <f t="array" ref="P505">IFERROR(
HYPERLINK(
"https://drive.google.com/file/d/"&amp;
XLOOKUP(O505,'Hoa-Don'!A:A,'Hoa-Don'!D:D)
&amp;"/view",
"🔎"
),
""
)</f>
        <v/>
      </c>
    </row>
    <row r="506" ht="22.5" customHeight="1">
      <c r="A506" s="21">
        <v>505.0</v>
      </c>
      <c r="B506" s="22">
        <v>43066.0</v>
      </c>
      <c r="C506" s="23">
        <v>247.0</v>
      </c>
      <c r="D506" s="24" t="s">
        <v>105</v>
      </c>
      <c r="E506" s="37" t="s">
        <v>16</v>
      </c>
      <c r="F506" s="26"/>
      <c r="G506" s="36" t="s">
        <v>42</v>
      </c>
      <c r="H506" s="28">
        <v>335.5</v>
      </c>
      <c r="I506" s="28">
        <v>14513.660821349476</v>
      </c>
      <c r="J506" s="29">
        <v>4869333.205562749</v>
      </c>
      <c r="K506" s="29">
        <v>14513.660821349476</v>
      </c>
      <c r="L506" s="30">
        <v>3802.5</v>
      </c>
      <c r="M506" s="29">
        <v>5.518819527318139E7</v>
      </c>
      <c r="N506" s="31" t="s">
        <v>598</v>
      </c>
      <c r="O506" s="32"/>
      <c r="P506" s="33" t="str">
        <f t="array" ref="P506">IFERROR(
HYPERLINK(
"https://drive.google.com/file/d/"&amp;
XLOOKUP(O506,'Hoa-Don'!A:A,'Hoa-Don'!D:D)
&amp;"/view",
"🔎"
),
""
)</f>
        <v/>
      </c>
    </row>
    <row r="507" ht="22.5" customHeight="1">
      <c r="A507" s="21">
        <v>506.0</v>
      </c>
      <c r="B507" s="22">
        <v>43066.0</v>
      </c>
      <c r="C507" s="23">
        <v>248.0</v>
      </c>
      <c r="D507" s="24" t="s">
        <v>37</v>
      </c>
      <c r="E507" s="35" t="s">
        <v>18</v>
      </c>
      <c r="F507" s="26"/>
      <c r="G507" s="36" t="s">
        <v>42</v>
      </c>
      <c r="H507" s="28">
        <v>1400.0</v>
      </c>
      <c r="I507" s="28">
        <v>11295.427193849995</v>
      </c>
      <c r="J507" s="29">
        <v>1.5813598071389994E7</v>
      </c>
      <c r="K507" s="29">
        <v>11295.427193849995</v>
      </c>
      <c r="L507" s="30">
        <v>17945.95</v>
      </c>
      <c r="M507" s="29">
        <v>2.0270717164947233E8</v>
      </c>
      <c r="N507" s="31" t="s">
        <v>599</v>
      </c>
      <c r="O507" s="32"/>
      <c r="P507" s="33" t="str">
        <f t="array" ref="P507">IFERROR(
HYPERLINK(
"https://drive.google.com/file/d/"&amp;
XLOOKUP(O507,'Hoa-Don'!A:A,'Hoa-Don'!D:D)
&amp;"/view",
"🔎"
),
""
)</f>
        <v/>
      </c>
    </row>
    <row r="508" ht="22.5" customHeight="1">
      <c r="A508" s="21">
        <v>507.0</v>
      </c>
      <c r="B508" s="22">
        <v>43067.0</v>
      </c>
      <c r="C508" s="23">
        <v>37.0</v>
      </c>
      <c r="D508" s="24" t="s">
        <v>40</v>
      </c>
      <c r="E508" s="25" t="s">
        <v>11</v>
      </c>
      <c r="F508" s="26"/>
      <c r="G508" s="27" t="s">
        <v>38</v>
      </c>
      <c r="H508" s="28">
        <v>2410.0</v>
      </c>
      <c r="I508" s="28">
        <v>13636.36</v>
      </c>
      <c r="J508" s="29">
        <v>3.28636276E7</v>
      </c>
      <c r="K508" s="29">
        <v>12122.216267389991</v>
      </c>
      <c r="L508" s="30">
        <v>42577.09999999999</v>
      </c>
      <c r="M508" s="29">
        <v>5.1612881423829025E8</v>
      </c>
      <c r="N508" s="31" t="s">
        <v>600</v>
      </c>
      <c r="O508" s="32"/>
      <c r="P508" s="33" t="str">
        <f t="array" ref="P508">IFERROR(
HYPERLINK(
"https://drive.google.com/file/d/"&amp;
XLOOKUP(O508,'Hoa-Don'!A:A,'Hoa-Don'!D:D)
&amp;"/view",
"🔎"
),
""
)</f>
        <v/>
      </c>
    </row>
    <row r="509" ht="22.5" customHeight="1">
      <c r="A509" s="21">
        <v>508.0</v>
      </c>
      <c r="B509" s="22">
        <v>43067.0</v>
      </c>
      <c r="C509" s="23">
        <v>37.0</v>
      </c>
      <c r="D509" s="24" t="s">
        <v>40</v>
      </c>
      <c r="E509" s="25" t="s">
        <v>11</v>
      </c>
      <c r="F509" s="26"/>
      <c r="G509" s="27" t="s">
        <v>38</v>
      </c>
      <c r="H509" s="28">
        <v>2320.0</v>
      </c>
      <c r="I509" s="28">
        <v>13090.9</v>
      </c>
      <c r="J509" s="29">
        <v>3.0370888E7</v>
      </c>
      <c r="K509" s="29">
        <v>12172.2717555987</v>
      </c>
      <c r="L509" s="30">
        <v>44897.09999999999</v>
      </c>
      <c r="M509" s="29">
        <v>5.464997022382903E8</v>
      </c>
      <c r="N509" s="31" t="s">
        <v>601</v>
      </c>
      <c r="O509" s="32"/>
      <c r="P509" s="33" t="str">
        <f t="array" ref="P509">IFERROR(
HYPERLINK(
"https://drive.google.com/file/d/"&amp;
XLOOKUP(O509,'Hoa-Don'!A:A,'Hoa-Don'!D:D)
&amp;"/view",
"🔎"
),
""
)</f>
        <v/>
      </c>
    </row>
    <row r="510" ht="22.5" customHeight="1">
      <c r="A510" s="21">
        <v>509.0</v>
      </c>
      <c r="B510" s="22">
        <v>43067.0</v>
      </c>
      <c r="C510" s="23">
        <v>4954.0</v>
      </c>
      <c r="D510" s="24" t="s">
        <v>71</v>
      </c>
      <c r="E510" s="25" t="s">
        <v>11</v>
      </c>
      <c r="F510" s="26"/>
      <c r="G510" s="27" t="s">
        <v>38</v>
      </c>
      <c r="H510" s="28">
        <v>1950.0</v>
      </c>
      <c r="I510" s="28">
        <v>14000.0</v>
      </c>
      <c r="J510" s="29">
        <v>2.73E7</v>
      </c>
      <c r="K510" s="29">
        <v>12248.350532653898</v>
      </c>
      <c r="L510" s="30">
        <v>46847.09999999999</v>
      </c>
      <c r="M510" s="29">
        <v>5.737997022382903E8</v>
      </c>
      <c r="N510" s="31" t="s">
        <v>602</v>
      </c>
      <c r="O510" s="32"/>
      <c r="P510" s="33" t="str">
        <f t="array" ref="P510">IFERROR(
HYPERLINK(
"https://drive.google.com/file/d/"&amp;
XLOOKUP(O510,'Hoa-Don'!A:A,'Hoa-Don'!D:D)
&amp;"/view",
"🔎"
),
""
)</f>
        <v/>
      </c>
    </row>
    <row r="511" ht="22.5" customHeight="1">
      <c r="A511" s="21">
        <v>510.0</v>
      </c>
      <c r="B511" s="22">
        <v>43067.0</v>
      </c>
      <c r="C511" s="23">
        <v>4954.0</v>
      </c>
      <c r="D511" s="24" t="s">
        <v>71</v>
      </c>
      <c r="E511" s="25" t="s">
        <v>11</v>
      </c>
      <c r="F511" s="26"/>
      <c r="G511" s="27" t="s">
        <v>38</v>
      </c>
      <c r="H511" s="28">
        <v>1813.0</v>
      </c>
      <c r="I511" s="28">
        <v>14000.0</v>
      </c>
      <c r="J511" s="29">
        <v>2.5382E7</v>
      </c>
      <c r="K511" s="29">
        <v>12313.614280247892</v>
      </c>
      <c r="L511" s="30">
        <v>48660.09999999999</v>
      </c>
      <c r="M511" s="29">
        <v>5.991817022382903E8</v>
      </c>
      <c r="N511" s="31" t="s">
        <v>603</v>
      </c>
      <c r="O511" s="32"/>
      <c r="P511" s="33" t="str">
        <f t="array" ref="P511">IFERROR(
HYPERLINK(
"https://drive.google.com/file/d/"&amp;
XLOOKUP(O511,'Hoa-Don'!A:A,'Hoa-Don'!D:D)
&amp;"/view",
"🔎"
),
""
)</f>
        <v/>
      </c>
    </row>
    <row r="512" ht="22.5" customHeight="1">
      <c r="A512" s="21">
        <v>511.0</v>
      </c>
      <c r="B512" s="22">
        <v>43067.0</v>
      </c>
      <c r="C512" s="23">
        <v>249.0</v>
      </c>
      <c r="D512" s="24" t="s">
        <v>37</v>
      </c>
      <c r="E512" s="25" t="s">
        <v>11</v>
      </c>
      <c r="F512" s="26"/>
      <c r="G512" s="36" t="s">
        <v>42</v>
      </c>
      <c r="H512" s="28">
        <v>1374.0</v>
      </c>
      <c r="I512" s="28">
        <v>12313.614280247892</v>
      </c>
      <c r="J512" s="29">
        <v>1.6918906021060605E7</v>
      </c>
      <c r="K512" s="29">
        <v>12313.614280247892</v>
      </c>
      <c r="L512" s="30">
        <v>47286.09999999999</v>
      </c>
      <c r="M512" s="29">
        <v>5.822627962172297E8</v>
      </c>
      <c r="N512" s="31" t="s">
        <v>604</v>
      </c>
      <c r="O512" s="32"/>
      <c r="P512" s="33" t="str">
        <f t="array" ref="P512">IFERROR(
HYPERLINK(
"https://drive.google.com/file/d/"&amp;
XLOOKUP(O512,'Hoa-Don'!A:A,'Hoa-Don'!D:D)
&amp;"/view",
"🔎"
),
""
)</f>
        <v/>
      </c>
    </row>
    <row r="513" ht="22.5" customHeight="1">
      <c r="A513" s="21">
        <v>512.0</v>
      </c>
      <c r="B513" s="22">
        <v>43068.0</v>
      </c>
      <c r="C513" s="23">
        <v>250.0</v>
      </c>
      <c r="D513" s="24" t="s">
        <v>37</v>
      </c>
      <c r="E513" s="25" t="s">
        <v>11</v>
      </c>
      <c r="F513" s="26"/>
      <c r="G513" s="36" t="s">
        <v>42</v>
      </c>
      <c r="H513" s="28">
        <v>1334.0</v>
      </c>
      <c r="I513" s="28">
        <v>12313.614280247892</v>
      </c>
      <c r="J513" s="29">
        <v>1.6426361449850688E7</v>
      </c>
      <c r="K513" s="29">
        <v>12313.614280247892</v>
      </c>
      <c r="L513" s="30">
        <v>45952.09999999999</v>
      </c>
      <c r="M513" s="29">
        <v>5.65836434767379E8</v>
      </c>
      <c r="N513" s="31" t="s">
        <v>605</v>
      </c>
      <c r="O513" s="32"/>
      <c r="P513" s="33" t="str">
        <f t="array" ref="P513">IFERROR(
HYPERLINK(
"https://drive.google.com/file/d/"&amp;
XLOOKUP(O513,'Hoa-Don'!A:A,'Hoa-Don'!D:D)
&amp;"/view",
"🔎"
),
""
)</f>
        <v/>
      </c>
    </row>
    <row r="514" ht="22.5" customHeight="1">
      <c r="A514" s="21">
        <v>513.0</v>
      </c>
      <c r="B514" s="22">
        <v>43069.0</v>
      </c>
      <c r="C514" s="23">
        <v>318.0</v>
      </c>
      <c r="D514" s="24" t="s">
        <v>393</v>
      </c>
      <c r="E514" s="25" t="s">
        <v>11</v>
      </c>
      <c r="F514" s="26"/>
      <c r="G514" s="27" t="s">
        <v>38</v>
      </c>
      <c r="H514" s="28">
        <v>682.0</v>
      </c>
      <c r="I514" s="28">
        <v>13090.91</v>
      </c>
      <c r="J514" s="29">
        <v>8928000.62</v>
      </c>
      <c r="K514" s="29">
        <v>12324.981834910059</v>
      </c>
      <c r="L514" s="30">
        <v>46634.09999999999</v>
      </c>
      <c r="M514" s="29">
        <v>5.74764435387379E8</v>
      </c>
      <c r="N514" s="31" t="s">
        <v>606</v>
      </c>
      <c r="O514" s="32"/>
      <c r="P514" s="33" t="str">
        <f t="array" ref="P514">IFERROR(
HYPERLINK(
"https://drive.google.com/file/d/"&amp;
XLOOKUP(O514,'Hoa-Don'!A:A,'Hoa-Don'!D:D)
&amp;"/view",
"🔎"
),
""
)</f>
        <v/>
      </c>
    </row>
    <row r="515" ht="22.5" customHeight="1">
      <c r="A515" s="21">
        <v>514.0</v>
      </c>
      <c r="B515" s="22">
        <v>43069.0</v>
      </c>
      <c r="C515" s="23">
        <v>251.0</v>
      </c>
      <c r="D515" s="24" t="s">
        <v>130</v>
      </c>
      <c r="E515" s="25" t="s">
        <v>11</v>
      </c>
      <c r="F515" s="26"/>
      <c r="G515" s="36" t="s">
        <v>42</v>
      </c>
      <c r="H515" s="28">
        <v>85.0</v>
      </c>
      <c r="I515" s="28">
        <v>12324.981834910059</v>
      </c>
      <c r="J515" s="29">
        <v>1047623.4559673549</v>
      </c>
      <c r="K515" s="29">
        <v>12324.981834910059</v>
      </c>
      <c r="L515" s="30">
        <v>46549.09999999999</v>
      </c>
      <c r="M515" s="29">
        <v>5.737168119314117E8</v>
      </c>
      <c r="N515" s="31" t="s">
        <v>607</v>
      </c>
      <c r="O515" s="32"/>
      <c r="P515" s="33" t="str">
        <f t="array" ref="P515">IFERROR(
HYPERLINK(
"https://drive.google.com/file/d/"&amp;
XLOOKUP(O515,'Hoa-Don'!A:A,'Hoa-Don'!D:D)
&amp;"/view",
"🔎"
),
""
)</f>
        <v/>
      </c>
    </row>
    <row r="516" ht="22.5" customHeight="1">
      <c r="A516" s="21">
        <v>515.0</v>
      </c>
      <c r="B516" s="22">
        <v>43070.0</v>
      </c>
      <c r="C516" s="23">
        <v>253.0</v>
      </c>
      <c r="D516" s="24" t="s">
        <v>581</v>
      </c>
      <c r="E516" s="25" t="s">
        <v>11</v>
      </c>
      <c r="F516" s="26"/>
      <c r="G516" s="36" t="s">
        <v>42</v>
      </c>
      <c r="H516" s="28">
        <v>4281.0</v>
      </c>
      <c r="I516" s="28">
        <v>12324.981834910059</v>
      </c>
      <c r="J516" s="29">
        <v>5.276324723524996E7</v>
      </c>
      <c r="K516" s="29">
        <v>12324.981834910059</v>
      </c>
      <c r="L516" s="30">
        <v>42268.09999999999</v>
      </c>
      <c r="M516" s="29">
        <v>5.2095356469616175E8</v>
      </c>
      <c r="N516" s="31" t="s">
        <v>608</v>
      </c>
      <c r="O516" s="32"/>
      <c r="P516" s="33" t="str">
        <f t="array" ref="P516">IFERROR(
HYPERLINK(
"https://drive.google.com/file/d/"&amp;
XLOOKUP(O516,'Hoa-Don'!A:A,'Hoa-Don'!D:D)
&amp;"/view",
"🔎"
),
""
)</f>
        <v/>
      </c>
    </row>
    <row r="517" ht="22.5" customHeight="1">
      <c r="A517" s="21">
        <v>516.0</v>
      </c>
      <c r="B517" s="22">
        <v>43075.0</v>
      </c>
      <c r="C517" s="23">
        <v>82.0</v>
      </c>
      <c r="D517" s="24" t="s">
        <v>40</v>
      </c>
      <c r="E517" s="35" t="s">
        <v>18</v>
      </c>
      <c r="F517" s="26"/>
      <c r="G517" s="27" t="s">
        <v>38</v>
      </c>
      <c r="H517" s="28">
        <v>5540.0</v>
      </c>
      <c r="I517" s="28">
        <v>12272.72</v>
      </c>
      <c r="J517" s="29">
        <v>6.79908688E7</v>
      </c>
      <c r="K517" s="29">
        <v>11525.95660169047</v>
      </c>
      <c r="L517" s="30">
        <v>23485.95</v>
      </c>
      <c r="M517" s="29">
        <v>2.706980404494723E8</v>
      </c>
      <c r="N517" s="31" t="s">
        <v>609</v>
      </c>
      <c r="O517" s="32"/>
      <c r="P517" s="33" t="str">
        <f t="array" ref="P517">IFERROR(
HYPERLINK(
"https://drive.google.com/file/d/"&amp;
XLOOKUP(O517,'Hoa-Don'!A:A,'Hoa-Don'!D:D)
&amp;"/view",
"🔎"
),
""
)</f>
        <v/>
      </c>
    </row>
    <row r="518" ht="22.5" customHeight="1">
      <c r="A518" s="21">
        <v>517.0</v>
      </c>
      <c r="B518" s="22">
        <v>43076.0</v>
      </c>
      <c r="C518" s="23">
        <v>254.0</v>
      </c>
      <c r="D518" s="24" t="s">
        <v>105</v>
      </c>
      <c r="E518" s="37" t="s">
        <v>16</v>
      </c>
      <c r="F518" s="26"/>
      <c r="G518" s="36" t="s">
        <v>42</v>
      </c>
      <c r="H518" s="28">
        <v>104.5</v>
      </c>
      <c r="I518" s="28">
        <v>14513.660821349476</v>
      </c>
      <c r="J518" s="29">
        <v>1516677.5558310202</v>
      </c>
      <c r="K518" s="29">
        <v>14513.660821349476</v>
      </c>
      <c r="L518" s="30">
        <v>3698.0</v>
      </c>
      <c r="M518" s="29">
        <v>5.3671517717350364E7</v>
      </c>
      <c r="N518" s="31" t="s">
        <v>610</v>
      </c>
      <c r="O518" s="32"/>
      <c r="P518" s="33" t="str">
        <f t="array" ref="P518">IFERROR(
HYPERLINK(
"https://drive.google.com/file/d/"&amp;
XLOOKUP(O518,'Hoa-Don'!A:A,'Hoa-Don'!D:D)
&amp;"/view",
"🔎"
),
""
)</f>
        <v/>
      </c>
    </row>
    <row r="519" ht="22.5" customHeight="1">
      <c r="A519" s="21">
        <v>518.0</v>
      </c>
      <c r="B519" s="22">
        <v>43082.0</v>
      </c>
      <c r="C519" s="23">
        <v>255.0</v>
      </c>
      <c r="D519" s="24" t="s">
        <v>63</v>
      </c>
      <c r="E519" s="35" t="s">
        <v>18</v>
      </c>
      <c r="F519" s="26"/>
      <c r="G519" s="36" t="s">
        <v>42</v>
      </c>
      <c r="H519" s="28">
        <v>278.0</v>
      </c>
      <c r="I519" s="28">
        <v>11525.95660169047</v>
      </c>
      <c r="J519" s="29">
        <v>3204215.935269951</v>
      </c>
      <c r="K519" s="29">
        <v>11525.95660169047</v>
      </c>
      <c r="L519" s="30">
        <v>23207.95</v>
      </c>
      <c r="M519" s="29">
        <v>2.6749382451420236E8</v>
      </c>
      <c r="N519" s="31" t="s">
        <v>611</v>
      </c>
      <c r="O519" s="32"/>
      <c r="P519" s="33" t="str">
        <f t="array" ref="P519">IFERROR(
HYPERLINK(
"https://drive.google.com/file/d/"&amp;
XLOOKUP(O519,'Hoa-Don'!A:A,'Hoa-Don'!D:D)
&amp;"/view",
"🔎"
),
""
)</f>
        <v/>
      </c>
    </row>
    <row r="520" ht="22.5" customHeight="1">
      <c r="A520" s="21">
        <v>519.0</v>
      </c>
      <c r="B520" s="22">
        <v>43083.0</v>
      </c>
      <c r="C520" s="23">
        <v>256.0</v>
      </c>
      <c r="D520" s="24" t="s">
        <v>571</v>
      </c>
      <c r="E520" s="35" t="s">
        <v>18</v>
      </c>
      <c r="F520" s="26"/>
      <c r="G520" s="36" t="s">
        <v>42</v>
      </c>
      <c r="H520" s="28">
        <v>531.0</v>
      </c>
      <c r="I520" s="28">
        <v>11525.95660169047</v>
      </c>
      <c r="J520" s="29">
        <v>6120282.955497639</v>
      </c>
      <c r="K520" s="29">
        <v>11525.95660169047</v>
      </c>
      <c r="L520" s="30">
        <v>22676.95</v>
      </c>
      <c r="M520" s="29">
        <v>2.613735415587047E8</v>
      </c>
      <c r="N520" s="31" t="s">
        <v>612</v>
      </c>
      <c r="O520" s="32"/>
      <c r="P520" s="33" t="str">
        <f t="array" ref="P520">IFERROR(
HYPERLINK(
"https://drive.google.com/file/d/"&amp;
XLOOKUP(O520,'Hoa-Don'!A:A,'Hoa-Don'!D:D)
&amp;"/view",
"🔎"
),
""
)</f>
        <v/>
      </c>
    </row>
    <row r="521" ht="22.5" customHeight="1">
      <c r="A521" s="21">
        <v>520.0</v>
      </c>
      <c r="B521" s="22">
        <v>43085.0</v>
      </c>
      <c r="C521" s="23">
        <v>363.0</v>
      </c>
      <c r="D521" s="24" t="s">
        <v>393</v>
      </c>
      <c r="E521" s="25" t="s">
        <v>11</v>
      </c>
      <c r="F521" s="26"/>
      <c r="G521" s="27" t="s">
        <v>38</v>
      </c>
      <c r="H521" s="28">
        <v>1000.0</v>
      </c>
      <c r="I521" s="28">
        <v>13363.64</v>
      </c>
      <c r="J521" s="29">
        <v>1.336364E7</v>
      </c>
      <c r="K521" s="29">
        <v>12348.987006505065</v>
      </c>
      <c r="L521" s="30">
        <v>43268.09999999999</v>
      </c>
      <c r="M521" s="29">
        <v>5.3431720469616175E8</v>
      </c>
      <c r="N521" s="31" t="s">
        <v>613</v>
      </c>
      <c r="O521" s="32"/>
      <c r="P521" s="33" t="str">
        <f t="array" ref="P521">IFERROR(
HYPERLINK(
"https://drive.google.com/file/d/"&amp;
XLOOKUP(O521,'Hoa-Don'!A:A,'Hoa-Don'!D:D)
&amp;"/view",
"🔎"
),
""
)</f>
        <v/>
      </c>
    </row>
    <row r="522" ht="22.5" customHeight="1">
      <c r="A522" s="21">
        <v>521.0</v>
      </c>
      <c r="B522" s="22">
        <v>43085.0</v>
      </c>
      <c r="C522" s="23">
        <v>829.0</v>
      </c>
      <c r="D522" s="24" t="s">
        <v>402</v>
      </c>
      <c r="E522" s="35" t="s">
        <v>18</v>
      </c>
      <c r="F522" s="26"/>
      <c r="G522" s="27" t="s">
        <v>38</v>
      </c>
      <c r="H522" s="28">
        <v>2400.0</v>
      </c>
      <c r="I522" s="28">
        <v>12181.82</v>
      </c>
      <c r="J522" s="29">
        <v>2.9236368E7</v>
      </c>
      <c r="K522" s="29">
        <v>11588.726282849579</v>
      </c>
      <c r="L522" s="30">
        <v>25076.95</v>
      </c>
      <c r="M522" s="29">
        <v>2.9060990955870473E8</v>
      </c>
      <c r="N522" s="31" t="s">
        <v>614</v>
      </c>
      <c r="O522" s="32"/>
      <c r="P522" s="33" t="str">
        <f t="array" ref="P522">IFERROR(
HYPERLINK(
"https://drive.google.com/file/d/"&amp;
XLOOKUP(O522,'Hoa-Don'!A:A,'Hoa-Don'!D:D)
&amp;"/view",
"🔎"
),
""
)</f>
        <v/>
      </c>
    </row>
    <row r="523" ht="22.5" customHeight="1">
      <c r="A523" s="21">
        <v>522.0</v>
      </c>
      <c r="B523" s="22">
        <v>43087.0</v>
      </c>
      <c r="C523" s="23">
        <v>366.0</v>
      </c>
      <c r="D523" s="24" t="s">
        <v>393</v>
      </c>
      <c r="E523" s="25" t="s">
        <v>11</v>
      </c>
      <c r="F523" s="26"/>
      <c r="G523" s="27" t="s">
        <v>38</v>
      </c>
      <c r="H523" s="28">
        <v>808.0</v>
      </c>
      <c r="I523" s="28">
        <v>13363.64</v>
      </c>
      <c r="J523" s="29">
        <v>1.079782112E7</v>
      </c>
      <c r="K523" s="29">
        <v>12367.587554619438</v>
      </c>
      <c r="L523" s="30">
        <v>44076.09999999999</v>
      </c>
      <c r="M523" s="29">
        <v>5.451150258161618E8</v>
      </c>
      <c r="N523" s="31" t="s">
        <v>615</v>
      </c>
      <c r="O523" s="32"/>
      <c r="P523" s="33" t="str">
        <f t="array" ref="P523">IFERROR(
HYPERLINK(
"https://drive.google.com/file/d/"&amp;
XLOOKUP(O523,'Hoa-Don'!A:A,'Hoa-Don'!D:D)
&amp;"/view",
"🔎"
),
""
)</f>
        <v/>
      </c>
    </row>
    <row r="524" ht="22.5" customHeight="1">
      <c r="A524" s="21">
        <v>523.0</v>
      </c>
      <c r="B524" s="22">
        <v>43089.0</v>
      </c>
      <c r="C524" s="23">
        <v>2417.0</v>
      </c>
      <c r="D524" s="24" t="s">
        <v>253</v>
      </c>
      <c r="E524" s="25" t="s">
        <v>11</v>
      </c>
      <c r="F524" s="26"/>
      <c r="G524" s="27" t="s">
        <v>38</v>
      </c>
      <c r="H524" s="28">
        <v>2566.0</v>
      </c>
      <c r="I524" s="28">
        <v>14000.0</v>
      </c>
      <c r="J524" s="29">
        <v>3.5924E7</v>
      </c>
      <c r="K524" s="29">
        <v>12457.394195719358</v>
      </c>
      <c r="L524" s="30">
        <v>46642.09999999999</v>
      </c>
      <c r="M524" s="29">
        <v>5.810390258161618E8</v>
      </c>
      <c r="N524" s="31" t="s">
        <v>616</v>
      </c>
      <c r="O524" s="32"/>
      <c r="P524" s="33" t="str">
        <f t="array" ref="P524">IFERROR(
HYPERLINK(
"https://drive.google.com/file/d/"&amp;
XLOOKUP(O524,'Hoa-Don'!A:A,'Hoa-Don'!D:D)
&amp;"/view",
"🔎"
),
""
)</f>
        <v/>
      </c>
    </row>
    <row r="525" ht="22.5" customHeight="1">
      <c r="A525" s="21">
        <v>524.0</v>
      </c>
      <c r="B525" s="22">
        <v>43089.0</v>
      </c>
      <c r="C525" s="23">
        <v>2417.0</v>
      </c>
      <c r="D525" s="24" t="s">
        <v>253</v>
      </c>
      <c r="E525" s="25" t="s">
        <v>11</v>
      </c>
      <c r="F525" s="26"/>
      <c r="G525" s="27" t="s">
        <v>38</v>
      </c>
      <c r="H525" s="28">
        <v>2158.0</v>
      </c>
      <c r="I525" s="28">
        <v>13636.36</v>
      </c>
      <c r="J525" s="29">
        <v>2.9427264880000003E7</v>
      </c>
      <c r="K525" s="29">
        <v>12509.529502934663</v>
      </c>
      <c r="L525" s="30">
        <v>48800.09999999999</v>
      </c>
      <c r="M525" s="29">
        <v>6.104662906961617E8</v>
      </c>
      <c r="N525" s="31" t="s">
        <v>617</v>
      </c>
      <c r="O525" s="32"/>
      <c r="P525" s="33" t="str">
        <f t="array" ref="P525">IFERROR(
HYPERLINK(
"https://drive.google.com/file/d/"&amp;
XLOOKUP(O525,'Hoa-Don'!A:A,'Hoa-Don'!D:D)
&amp;"/view",
"🔎"
),
""
)</f>
        <v/>
      </c>
    </row>
    <row r="526" ht="22.5" customHeight="1">
      <c r="A526" s="21">
        <v>525.0</v>
      </c>
      <c r="B526" s="22">
        <v>43090.0</v>
      </c>
      <c r="C526" s="23">
        <v>257.0</v>
      </c>
      <c r="D526" s="24" t="s">
        <v>460</v>
      </c>
      <c r="E526" s="37" t="s">
        <v>16</v>
      </c>
      <c r="F526" s="26"/>
      <c r="G526" s="36" t="s">
        <v>42</v>
      </c>
      <c r="H526" s="28">
        <v>2000.0</v>
      </c>
      <c r="I526" s="28">
        <v>14513.660821349476</v>
      </c>
      <c r="J526" s="29">
        <v>2.902732164269895E7</v>
      </c>
      <c r="K526" s="29">
        <v>14513.660821349476</v>
      </c>
      <c r="L526" s="30">
        <v>1698.0</v>
      </c>
      <c r="M526" s="29">
        <v>2.4644196074651413E7</v>
      </c>
      <c r="N526" s="31" t="s">
        <v>618</v>
      </c>
      <c r="O526" s="32"/>
      <c r="P526" s="33" t="str">
        <f t="array" ref="P526">IFERROR(
HYPERLINK(
"https://drive.google.com/file/d/"&amp;
XLOOKUP(O526,'Hoa-Don'!A:A,'Hoa-Don'!D:D)
&amp;"/view",
"🔎"
),
""
)</f>
        <v/>
      </c>
    </row>
    <row r="527" ht="22.5" customHeight="1">
      <c r="A527" s="21">
        <v>526.0</v>
      </c>
      <c r="B527" s="22">
        <v>43090.0</v>
      </c>
      <c r="C527" s="23">
        <v>257.0</v>
      </c>
      <c r="D527" s="24" t="s">
        <v>460</v>
      </c>
      <c r="E527" s="35" t="s">
        <v>18</v>
      </c>
      <c r="F527" s="26"/>
      <c r="G527" s="36" t="s">
        <v>42</v>
      </c>
      <c r="H527" s="28">
        <v>2353.0</v>
      </c>
      <c r="I527" s="28">
        <v>11588.726282849579</v>
      </c>
      <c r="J527" s="29">
        <v>2.726827294354506E7</v>
      </c>
      <c r="K527" s="29">
        <v>11588.726282849579</v>
      </c>
      <c r="L527" s="30">
        <v>22723.95</v>
      </c>
      <c r="M527" s="29">
        <v>2.633416366151597E8</v>
      </c>
      <c r="N527" s="31" t="s">
        <v>619</v>
      </c>
      <c r="O527" s="32"/>
      <c r="P527" s="33" t="str">
        <f t="array" ref="P527">IFERROR(
HYPERLINK(
"https://drive.google.com/file/d/"&amp;
XLOOKUP(O527,'Hoa-Don'!A:A,'Hoa-Don'!D:D)
&amp;"/view",
"🔎"
),
""
)</f>
        <v/>
      </c>
    </row>
    <row r="528" ht="22.5" customHeight="1">
      <c r="A528" s="21">
        <v>527.0</v>
      </c>
      <c r="B528" s="22">
        <v>43091.0</v>
      </c>
      <c r="C528" s="23">
        <v>258.0</v>
      </c>
      <c r="D528" s="24" t="s">
        <v>93</v>
      </c>
      <c r="E528" s="25" t="s">
        <v>11</v>
      </c>
      <c r="F528" s="26"/>
      <c r="G528" s="36" t="s">
        <v>42</v>
      </c>
      <c r="H528" s="28">
        <v>6500.0</v>
      </c>
      <c r="I528" s="28">
        <v>12509.529502934663</v>
      </c>
      <c r="J528" s="29">
        <v>8.131194176907532E7</v>
      </c>
      <c r="K528" s="29">
        <v>12509.529502934663</v>
      </c>
      <c r="L528" s="30">
        <v>42300.09999999999</v>
      </c>
      <c r="M528" s="29">
        <v>5.291543489270865E8</v>
      </c>
      <c r="N528" s="31" t="s">
        <v>620</v>
      </c>
      <c r="O528" s="32"/>
      <c r="P528" s="33" t="str">
        <f t="array" ref="P528">IFERROR(
HYPERLINK(
"https://drive.google.com/file/d/"&amp;
XLOOKUP(O528,'Hoa-Don'!A:A,'Hoa-Don'!D:D)
&amp;"/view",
"🔎"
),
""
)</f>
        <v/>
      </c>
    </row>
    <row r="529" ht="22.5" customHeight="1">
      <c r="A529" s="21">
        <v>528.0</v>
      </c>
      <c r="B529" s="22">
        <v>43097.0</v>
      </c>
      <c r="C529" s="23">
        <v>385.0</v>
      </c>
      <c r="D529" s="24" t="s">
        <v>393</v>
      </c>
      <c r="E529" s="25" t="s">
        <v>11</v>
      </c>
      <c r="F529" s="26"/>
      <c r="G529" s="27" t="s">
        <v>38</v>
      </c>
      <c r="H529" s="28">
        <v>1000.0</v>
      </c>
      <c r="I529" s="28">
        <v>13363.64</v>
      </c>
      <c r="J529" s="29">
        <v>1.336364E7</v>
      </c>
      <c r="K529" s="29">
        <v>12529.254873016149</v>
      </c>
      <c r="L529" s="30">
        <v>43300.09999999999</v>
      </c>
      <c r="M529" s="29">
        <v>5.425179889270865E8</v>
      </c>
      <c r="N529" s="31" t="s">
        <v>621</v>
      </c>
      <c r="O529" s="32"/>
      <c r="P529" s="33" t="str">
        <f t="array" ref="P529">IFERROR(
HYPERLINK(
"https://drive.google.com/file/d/"&amp;
XLOOKUP(O529,'Hoa-Don'!A:A,'Hoa-Don'!D:D)
&amp;"/view",
"🔎"
),
""
)</f>
        <v/>
      </c>
    </row>
    <row r="530" ht="22.5" customHeight="1">
      <c r="A530" s="21">
        <v>529.0</v>
      </c>
      <c r="B530" s="22">
        <v>43097.0</v>
      </c>
      <c r="C530" s="23">
        <v>259.0</v>
      </c>
      <c r="D530" s="24" t="s">
        <v>93</v>
      </c>
      <c r="E530" s="25" t="s">
        <v>11</v>
      </c>
      <c r="F530" s="26"/>
      <c r="G530" s="36" t="s">
        <v>42</v>
      </c>
      <c r="H530" s="28">
        <v>2558.8</v>
      </c>
      <c r="I530" s="28">
        <v>12529.254873016149</v>
      </c>
      <c r="J530" s="29">
        <v>3.2059857369073723E7</v>
      </c>
      <c r="K530" s="29">
        <v>12529.254873016149</v>
      </c>
      <c r="L530" s="30">
        <v>40741.29999999999</v>
      </c>
      <c r="M530" s="29">
        <v>5.1045813155801266E8</v>
      </c>
      <c r="N530" s="31" t="s">
        <v>622</v>
      </c>
      <c r="O530" s="32"/>
      <c r="P530" s="33" t="str">
        <f t="array" ref="P530">IFERROR(
HYPERLINK(
"https://drive.google.com/file/d/"&amp;
XLOOKUP(O530,'Hoa-Don'!A:A,'Hoa-Don'!D:D)
&amp;"/view",
"🔎"
),
""
)</f>
        <v/>
      </c>
    </row>
    <row r="531" ht="22.5" customHeight="1">
      <c r="A531" s="21">
        <v>530.0</v>
      </c>
      <c r="B531" s="22">
        <v>43097.0</v>
      </c>
      <c r="C531" s="23">
        <v>260.0</v>
      </c>
      <c r="D531" s="24" t="s">
        <v>63</v>
      </c>
      <c r="E531" s="35" t="s">
        <v>18</v>
      </c>
      <c r="F531" s="26"/>
      <c r="G531" s="36" t="s">
        <v>42</v>
      </c>
      <c r="H531" s="28">
        <v>175.0</v>
      </c>
      <c r="I531" s="28">
        <v>11588.726282849579</v>
      </c>
      <c r="J531" s="29">
        <v>2028027.0994986764</v>
      </c>
      <c r="K531" s="29">
        <v>11588.726282849579</v>
      </c>
      <c r="L531" s="30">
        <v>22548.95</v>
      </c>
      <c r="M531" s="29">
        <v>2.61313609515661E8</v>
      </c>
      <c r="N531" s="31" t="s">
        <v>623</v>
      </c>
      <c r="O531" s="32"/>
      <c r="P531" s="33" t="str">
        <f t="array" ref="P531">IFERROR(
HYPERLINK(
"https://drive.google.com/file/d/"&amp;
XLOOKUP(O531,'Hoa-Don'!A:A,'Hoa-Don'!D:D)
&amp;"/view",
"🔎"
),
""
)</f>
        <v/>
      </c>
    </row>
    <row r="532" ht="22.5" customHeight="1">
      <c r="A532" s="21">
        <v>531.0</v>
      </c>
      <c r="B532" s="22">
        <v>43098.0</v>
      </c>
      <c r="C532" s="23">
        <v>391.0</v>
      </c>
      <c r="D532" s="24" t="s">
        <v>393</v>
      </c>
      <c r="E532" s="25" t="s">
        <v>11</v>
      </c>
      <c r="F532" s="26"/>
      <c r="G532" s="27" t="s">
        <v>38</v>
      </c>
      <c r="H532" s="28">
        <v>853.0</v>
      </c>
      <c r="I532" s="28">
        <v>13363.64</v>
      </c>
      <c r="J532" s="29">
        <v>1.139918492E7</v>
      </c>
      <c r="K532" s="29">
        <v>12546.366124156742</v>
      </c>
      <c r="L532" s="30">
        <v>41594.29999999999</v>
      </c>
      <c r="M532" s="29">
        <v>5.218573164780127E8</v>
      </c>
      <c r="N532" s="31" t="s">
        <v>624</v>
      </c>
      <c r="O532" s="32"/>
      <c r="P532" s="33" t="str">
        <f t="array" ref="P532">IFERROR(
HYPERLINK(
"https://drive.google.com/file/d/"&amp;
XLOOKUP(O532,'Hoa-Don'!A:A,'Hoa-Don'!D:D)
&amp;"/view",
"🔎"
),
""
)</f>
        <v/>
      </c>
    </row>
    <row r="533" ht="22.5" customHeight="1">
      <c r="A533" s="21">
        <v>532.0</v>
      </c>
      <c r="B533" s="22">
        <v>43099.0</v>
      </c>
      <c r="C533" s="23">
        <v>261.0</v>
      </c>
      <c r="D533" s="24" t="s">
        <v>63</v>
      </c>
      <c r="E533" s="35" t="s">
        <v>18</v>
      </c>
      <c r="F533" s="26"/>
      <c r="G533" s="36" t="s">
        <v>42</v>
      </c>
      <c r="H533" s="28">
        <v>356.0</v>
      </c>
      <c r="I533" s="28">
        <v>11588.726282849579</v>
      </c>
      <c r="J533" s="29">
        <v>4125586.55669445</v>
      </c>
      <c r="K533" s="29">
        <v>11588.726282849579</v>
      </c>
      <c r="L533" s="30">
        <v>22192.95</v>
      </c>
      <c r="M533" s="29">
        <v>2.5718802295896655E8</v>
      </c>
      <c r="N533" s="31" t="s">
        <v>625</v>
      </c>
      <c r="O533" s="32"/>
      <c r="P533" s="33" t="str">
        <f t="array" ref="P533">IFERROR(
HYPERLINK(
"https://drive.google.com/file/d/"&amp;
XLOOKUP(O533,'Hoa-Don'!A:A,'Hoa-Don'!D:D)
&amp;"/view",
"🔎"
),
""
)</f>
        <v/>
      </c>
    </row>
    <row r="534" ht="22.5" customHeight="1">
      <c r="A534" s="21">
        <v>533.0</v>
      </c>
      <c r="B534" s="22">
        <v>43100.0</v>
      </c>
      <c r="C534" s="23">
        <v>262.0</v>
      </c>
      <c r="D534" s="24" t="s">
        <v>130</v>
      </c>
      <c r="E534" s="25" t="s">
        <v>11</v>
      </c>
      <c r="F534" s="26"/>
      <c r="G534" s="36" t="s">
        <v>42</v>
      </c>
      <c r="H534" s="28">
        <v>96.0</v>
      </c>
      <c r="I534" s="28">
        <v>12546.366124156742</v>
      </c>
      <c r="J534" s="29">
        <v>1204451.1479190472</v>
      </c>
      <c r="K534" s="29">
        <v>12546.366124156742</v>
      </c>
      <c r="L534" s="30">
        <v>41498.29999999999</v>
      </c>
      <c r="M534" s="29">
        <v>5.206528653300936E8</v>
      </c>
      <c r="N534" s="31" t="s">
        <v>626</v>
      </c>
      <c r="O534" s="32"/>
      <c r="P534" s="33" t="str">
        <f t="array" ref="P534">IFERROR(
HYPERLINK(
"https://drive.google.com/file/d/"&amp;
XLOOKUP(O534,'Hoa-Don'!A:A,'Hoa-Don'!D:D)
&amp;"/view",
"🔎"
),
""
)</f>
        <v/>
      </c>
    </row>
    <row r="535" ht="22.5" customHeight="1">
      <c r="A535" s="21">
        <v>534.0</v>
      </c>
      <c r="B535" s="22">
        <v>43105.0</v>
      </c>
      <c r="C535" s="23">
        <v>264.0</v>
      </c>
      <c r="D535" s="24" t="s">
        <v>115</v>
      </c>
      <c r="E535" s="35" t="s">
        <v>18</v>
      </c>
      <c r="F535" s="26"/>
      <c r="G535" s="36" t="s">
        <v>42</v>
      </c>
      <c r="H535" s="28">
        <v>387.0</v>
      </c>
      <c r="I535" s="28">
        <v>11588.726282849579</v>
      </c>
      <c r="J535" s="29">
        <v>4484837.071462787</v>
      </c>
      <c r="K535" s="29">
        <v>11588.726282849579</v>
      </c>
      <c r="L535" s="30">
        <v>21805.95</v>
      </c>
      <c r="M535" s="29">
        <v>2.5270318588750377E8</v>
      </c>
      <c r="N535" s="31" t="s">
        <v>627</v>
      </c>
      <c r="O535" s="32"/>
      <c r="P535" s="33" t="str">
        <f t="array" ref="P535">IFERROR(
HYPERLINK(
"https://drive.google.com/file/d/"&amp;
XLOOKUP(O535,'Hoa-Don'!A:A,'Hoa-Don'!D:D)
&amp;"/view",
"🔎"
),
""
)</f>
        <v/>
      </c>
    </row>
    <row r="536" ht="22.5" customHeight="1">
      <c r="A536" s="21">
        <v>535.0</v>
      </c>
      <c r="B536" s="22">
        <v>43108.0</v>
      </c>
      <c r="C536" s="23">
        <v>908.0</v>
      </c>
      <c r="D536" s="24" t="s">
        <v>402</v>
      </c>
      <c r="E536" s="35" t="s">
        <v>18</v>
      </c>
      <c r="F536" s="26"/>
      <c r="G536" s="27" t="s">
        <v>38</v>
      </c>
      <c r="H536" s="28">
        <v>7935.0</v>
      </c>
      <c r="I536" s="28">
        <v>11909.09</v>
      </c>
      <c r="J536" s="29">
        <v>9.449862915E7</v>
      </c>
      <c r="K536" s="29">
        <v>11674.200556387868</v>
      </c>
      <c r="L536" s="30">
        <v>29740.95</v>
      </c>
      <c r="M536" s="29">
        <v>3.472018150375038E8</v>
      </c>
      <c r="N536" s="31" t="s">
        <v>628</v>
      </c>
      <c r="O536" s="32"/>
      <c r="P536" s="33" t="str">
        <f t="array" ref="P536">IFERROR(
HYPERLINK(
"https://drive.google.com/file/d/"&amp;
XLOOKUP(O536,'Hoa-Don'!A:A,'Hoa-Don'!D:D)
&amp;"/view",
"🔎"
),
""
)</f>
        <v/>
      </c>
    </row>
    <row r="537" ht="22.5" customHeight="1">
      <c r="A537" s="21">
        <v>536.0</v>
      </c>
      <c r="B537" s="22">
        <v>43109.0</v>
      </c>
      <c r="C537" s="23">
        <v>265.0</v>
      </c>
      <c r="D537" s="24" t="s">
        <v>571</v>
      </c>
      <c r="E537" s="35" t="s">
        <v>18</v>
      </c>
      <c r="F537" s="26"/>
      <c r="G537" s="36" t="s">
        <v>42</v>
      </c>
      <c r="H537" s="28">
        <v>732.5</v>
      </c>
      <c r="I537" s="28">
        <v>11674.200556387868</v>
      </c>
      <c r="J537" s="29">
        <v>8551351.907554114</v>
      </c>
      <c r="K537" s="29">
        <v>11674.200556387868</v>
      </c>
      <c r="L537" s="30">
        <v>29008.45</v>
      </c>
      <c r="M537" s="29">
        <v>3.386504631299497E8</v>
      </c>
      <c r="N537" s="31" t="s">
        <v>629</v>
      </c>
      <c r="O537" s="32"/>
      <c r="P537" s="33" t="str">
        <f t="array" ref="P537">IFERROR(
HYPERLINK(
"https://drive.google.com/file/d/"&amp;
XLOOKUP(O537,'Hoa-Don'!A:A,'Hoa-Don'!D:D)
&amp;"/view",
"🔎"
),
""
)</f>
        <v/>
      </c>
    </row>
    <row r="538" ht="22.5" customHeight="1">
      <c r="A538" s="21">
        <v>537.0</v>
      </c>
      <c r="B538" s="22">
        <v>43110.0</v>
      </c>
      <c r="C538" s="23">
        <v>266.0</v>
      </c>
      <c r="D538" s="24" t="s">
        <v>581</v>
      </c>
      <c r="E538" s="25" t="s">
        <v>11</v>
      </c>
      <c r="F538" s="26"/>
      <c r="G538" s="36" t="s">
        <v>42</v>
      </c>
      <c r="H538" s="28">
        <v>5064.5</v>
      </c>
      <c r="I538" s="28">
        <v>12546.366124156742</v>
      </c>
      <c r="J538" s="29">
        <v>6.3541071235791825E7</v>
      </c>
      <c r="K538" s="29">
        <v>12546.366124156742</v>
      </c>
      <c r="L538" s="30">
        <v>36433.79999999999</v>
      </c>
      <c r="M538" s="29">
        <v>4.5711179409430176E8</v>
      </c>
      <c r="N538" s="31" t="s">
        <v>630</v>
      </c>
      <c r="O538" s="32"/>
      <c r="P538" s="33" t="str">
        <f t="array" ref="P538">IFERROR(
HYPERLINK(
"https://drive.google.com/file/d/"&amp;
XLOOKUP(O538,'Hoa-Don'!A:A,'Hoa-Don'!D:D)
&amp;"/view",
"🔎"
),
""
)</f>
        <v/>
      </c>
    </row>
    <row r="539" ht="22.5" customHeight="1">
      <c r="A539" s="21">
        <v>538.0</v>
      </c>
      <c r="B539" s="22">
        <v>43115.0</v>
      </c>
      <c r="C539" s="23">
        <v>268.0</v>
      </c>
      <c r="D539" s="24" t="s">
        <v>631</v>
      </c>
      <c r="E539" s="25" t="s">
        <v>11</v>
      </c>
      <c r="F539" s="26"/>
      <c r="G539" s="36" t="s">
        <v>42</v>
      </c>
      <c r="H539" s="28">
        <v>1010.5</v>
      </c>
      <c r="I539" s="28">
        <v>12546.366124156742</v>
      </c>
      <c r="J539" s="29">
        <v>1.2678102968460388E7</v>
      </c>
      <c r="K539" s="29">
        <v>12546.366124156742</v>
      </c>
      <c r="L539" s="30">
        <v>35423.29999999999</v>
      </c>
      <c r="M539" s="29">
        <v>4.444336911258414E8</v>
      </c>
      <c r="N539" s="31" t="s">
        <v>632</v>
      </c>
      <c r="O539" s="32"/>
      <c r="P539" s="33" t="str">
        <f t="array" ref="P539">IFERROR(
HYPERLINK(
"https://drive.google.com/file/d/"&amp;
XLOOKUP(O539,'Hoa-Don'!A:A,'Hoa-Don'!D:D)
&amp;"/view",
"🔎"
),
""
)</f>
        <v/>
      </c>
    </row>
    <row r="540" ht="22.5" customHeight="1">
      <c r="A540" s="21">
        <v>539.0</v>
      </c>
      <c r="B540" s="22">
        <v>43119.0</v>
      </c>
      <c r="C540" s="23">
        <v>269.0</v>
      </c>
      <c r="D540" s="24" t="s">
        <v>571</v>
      </c>
      <c r="E540" s="35" t="s">
        <v>18</v>
      </c>
      <c r="F540" s="26"/>
      <c r="G540" s="36" t="s">
        <v>42</v>
      </c>
      <c r="H540" s="28">
        <v>199.3</v>
      </c>
      <c r="I540" s="28">
        <v>11674.200556387868</v>
      </c>
      <c r="J540" s="29">
        <v>2326668.170888102</v>
      </c>
      <c r="K540" s="29">
        <v>11674.200556387868</v>
      </c>
      <c r="L540" s="30">
        <v>28809.15</v>
      </c>
      <c r="M540" s="29">
        <v>3.3632379495906156E8</v>
      </c>
      <c r="N540" s="31" t="s">
        <v>633</v>
      </c>
      <c r="O540" s="32"/>
      <c r="P540" s="33" t="str">
        <f t="array" ref="P540">IFERROR(
HYPERLINK(
"https://drive.google.com/file/d/"&amp;
XLOOKUP(O540,'Hoa-Don'!A:A,'Hoa-Don'!D:D)
&amp;"/view",
"🔎"
),
""
)</f>
        <v/>
      </c>
    </row>
    <row r="541" ht="22.5" customHeight="1">
      <c r="A541" s="21">
        <v>540.0</v>
      </c>
      <c r="B541" s="22">
        <v>43125.0</v>
      </c>
      <c r="C541" s="23">
        <v>270.0</v>
      </c>
      <c r="D541" s="24" t="s">
        <v>631</v>
      </c>
      <c r="E541" s="35" t="s">
        <v>18</v>
      </c>
      <c r="F541" s="26"/>
      <c r="G541" s="36" t="s">
        <v>42</v>
      </c>
      <c r="H541" s="28">
        <v>422.0</v>
      </c>
      <c r="I541" s="28">
        <v>11674.200556387868</v>
      </c>
      <c r="J541" s="29">
        <v>4926512.634795681</v>
      </c>
      <c r="K541" s="29">
        <v>11674.200556387868</v>
      </c>
      <c r="L541" s="30">
        <v>28387.15</v>
      </c>
      <c r="M541" s="29">
        <v>3.313972823242659E8</v>
      </c>
      <c r="N541" s="31" t="s">
        <v>634</v>
      </c>
      <c r="O541" s="32"/>
      <c r="P541" s="33" t="str">
        <f t="array" ref="P541">IFERROR(
HYPERLINK(
"https://drive.google.com/file/d/"&amp;
XLOOKUP(O541,'Hoa-Don'!A:A,'Hoa-Don'!D:D)
&amp;"/view",
"🔎"
),
""
)</f>
        <v/>
      </c>
    </row>
    <row r="542" ht="22.5" customHeight="1">
      <c r="A542" s="21">
        <v>541.0</v>
      </c>
      <c r="B542" s="22">
        <v>43125.0</v>
      </c>
      <c r="C542" s="23">
        <v>270.0</v>
      </c>
      <c r="D542" s="24" t="s">
        <v>631</v>
      </c>
      <c r="E542" s="25" t="s">
        <v>11</v>
      </c>
      <c r="F542" s="26"/>
      <c r="G542" s="36" t="s">
        <v>42</v>
      </c>
      <c r="H542" s="28">
        <v>307.5</v>
      </c>
      <c r="I542" s="28">
        <v>12546.366124156742</v>
      </c>
      <c r="J542" s="29">
        <v>3858007.5831781984</v>
      </c>
      <c r="K542" s="29">
        <v>12546.366124156742</v>
      </c>
      <c r="L542" s="30">
        <v>35115.79999999999</v>
      </c>
      <c r="M542" s="29">
        <v>4.405756835426632E8</v>
      </c>
      <c r="N542" s="31" t="s">
        <v>635</v>
      </c>
      <c r="O542" s="32"/>
      <c r="P542" s="33" t="str">
        <f t="array" ref="P542">IFERROR(
HYPERLINK(
"https://drive.google.com/file/d/"&amp;
XLOOKUP(O542,'Hoa-Don'!A:A,'Hoa-Don'!D:D)
&amp;"/view",
"🔎"
),
""
)</f>
        <v/>
      </c>
    </row>
    <row r="543" ht="22.5" customHeight="1">
      <c r="A543" s="21">
        <v>542.0</v>
      </c>
      <c r="B543" s="22">
        <v>43131.0</v>
      </c>
      <c r="C543" s="23">
        <v>271.0</v>
      </c>
      <c r="D543" s="24" t="s">
        <v>130</v>
      </c>
      <c r="E543" s="35" t="s">
        <v>18</v>
      </c>
      <c r="F543" s="26"/>
      <c r="G543" s="36" t="s">
        <v>42</v>
      </c>
      <c r="H543" s="28">
        <v>50.0</v>
      </c>
      <c r="I543" s="28">
        <v>11674.200556387868</v>
      </c>
      <c r="J543" s="29">
        <v>583710.0278193934</v>
      </c>
      <c r="K543" s="29">
        <v>11674.200556387868</v>
      </c>
      <c r="L543" s="30">
        <v>28337.15</v>
      </c>
      <c r="M543" s="29">
        <v>3.308135722964465E8</v>
      </c>
      <c r="N543" s="31" t="s">
        <v>636</v>
      </c>
      <c r="O543" s="32"/>
      <c r="P543" s="33" t="str">
        <f t="array" ref="P543">IFERROR(
HYPERLINK(
"https://drive.google.com/file/d/"&amp;
XLOOKUP(O543,'Hoa-Don'!A:A,'Hoa-Don'!D:D)
&amp;"/view",
"🔎"
),
""
)</f>
        <v/>
      </c>
    </row>
    <row r="544" ht="22.5" customHeight="1">
      <c r="A544" s="21">
        <v>543.0</v>
      </c>
      <c r="B544" s="22">
        <v>43134.0</v>
      </c>
      <c r="C544" s="23">
        <v>162.0</v>
      </c>
      <c r="D544" s="24" t="s">
        <v>253</v>
      </c>
      <c r="E544" s="25" t="s">
        <v>11</v>
      </c>
      <c r="F544" s="26"/>
      <c r="G544" s="27" t="s">
        <v>38</v>
      </c>
      <c r="H544" s="28">
        <v>2284.0</v>
      </c>
      <c r="I544" s="28">
        <v>13000.0</v>
      </c>
      <c r="J544" s="29">
        <v>2.9692E7</v>
      </c>
      <c r="K544" s="29">
        <v>12574.069474774287</v>
      </c>
      <c r="L544" s="30">
        <v>37399.79999999999</v>
      </c>
      <c r="M544" s="29">
        <v>4.702676835426632E8</v>
      </c>
      <c r="N544" s="31" t="s">
        <v>637</v>
      </c>
      <c r="O544" s="32"/>
      <c r="P544" s="33" t="str">
        <f t="array" ref="P544">IFERROR(
HYPERLINK(
"https://drive.google.com/file/d/"&amp;
XLOOKUP(O544,'Hoa-Don'!A:A,'Hoa-Don'!D:D)
&amp;"/view",
"🔎"
),
""
)</f>
        <v/>
      </c>
    </row>
    <row r="545" ht="22.5" customHeight="1">
      <c r="A545" s="21">
        <v>544.0</v>
      </c>
      <c r="B545" s="22">
        <v>43134.0</v>
      </c>
      <c r="C545" s="23">
        <v>162.0</v>
      </c>
      <c r="D545" s="24" t="s">
        <v>253</v>
      </c>
      <c r="E545" s="25" t="s">
        <v>11</v>
      </c>
      <c r="F545" s="26"/>
      <c r="G545" s="27" t="s">
        <v>38</v>
      </c>
      <c r="H545" s="28">
        <v>1644.0</v>
      </c>
      <c r="I545" s="28">
        <v>14090.91</v>
      </c>
      <c r="J545" s="29">
        <v>2.316545604E7</v>
      </c>
      <c r="K545" s="29">
        <v>12637.938407190473</v>
      </c>
      <c r="L545" s="30">
        <v>39043.79999999999</v>
      </c>
      <c r="M545" s="29">
        <v>4.9343313958266324E8</v>
      </c>
      <c r="N545" s="31" t="s">
        <v>638</v>
      </c>
      <c r="O545" s="32"/>
      <c r="P545" s="33" t="str">
        <f t="array" ref="P545">IFERROR(
HYPERLINK(
"https://drive.google.com/file/d/"&amp;
XLOOKUP(O545,'Hoa-Don'!A:A,'Hoa-Don'!D:D)
&amp;"/view",
"🔎"
),
""
)</f>
        <v/>
      </c>
    </row>
    <row r="546" ht="22.5" customHeight="1">
      <c r="A546" s="21">
        <v>545.0</v>
      </c>
      <c r="B546" s="22">
        <v>43134.0</v>
      </c>
      <c r="C546" s="23">
        <v>272.0</v>
      </c>
      <c r="D546" s="24" t="s">
        <v>130</v>
      </c>
      <c r="E546" s="25" t="s">
        <v>11</v>
      </c>
      <c r="F546" s="26"/>
      <c r="G546" s="36" t="s">
        <v>42</v>
      </c>
      <c r="H546" s="28">
        <v>80.0</v>
      </c>
      <c r="I546" s="28">
        <v>12637.938407190473</v>
      </c>
      <c r="J546" s="29">
        <v>1011035.0725752378</v>
      </c>
      <c r="K546" s="29">
        <v>12637.938407190473</v>
      </c>
      <c r="L546" s="30">
        <v>38963.79999999999</v>
      </c>
      <c r="M546" s="29">
        <v>4.92422104510088E8</v>
      </c>
      <c r="N546" s="31" t="s">
        <v>639</v>
      </c>
      <c r="O546" s="32"/>
      <c r="P546" s="33" t="str">
        <f t="array" ref="P546">IFERROR(
HYPERLINK(
"https://drive.google.com/file/d/"&amp;
XLOOKUP(O546,'Hoa-Don'!A:A,'Hoa-Don'!D:D)
&amp;"/view",
"🔎"
),
""
)</f>
        <v/>
      </c>
    </row>
    <row r="547" ht="22.5" customHeight="1">
      <c r="A547" s="21">
        <v>546.0</v>
      </c>
      <c r="B547" s="22">
        <v>43154.0</v>
      </c>
      <c r="C547" s="23">
        <v>224.0</v>
      </c>
      <c r="D547" s="24" t="s">
        <v>253</v>
      </c>
      <c r="E547" s="35" t="s">
        <v>18</v>
      </c>
      <c r="F547" s="26"/>
      <c r="G547" s="27" t="s">
        <v>38</v>
      </c>
      <c r="H547" s="28">
        <v>3454.0</v>
      </c>
      <c r="I547" s="28">
        <v>13909.09</v>
      </c>
      <c r="J547" s="29">
        <v>4.804199686E7</v>
      </c>
      <c r="K547" s="29">
        <v>11917.013670673961</v>
      </c>
      <c r="L547" s="30">
        <v>31791.15</v>
      </c>
      <c r="M547" s="29">
        <v>3.788555691564465E8</v>
      </c>
      <c r="N547" s="31" t="s">
        <v>640</v>
      </c>
      <c r="O547" s="32"/>
      <c r="P547" s="33" t="str">
        <f t="array" ref="P547">IFERROR(
HYPERLINK(
"https://drive.google.com/file/d/"&amp;
XLOOKUP(O547,'Hoa-Don'!A:A,'Hoa-Don'!D:D)
&amp;"/view",
"🔎"
),
""
)</f>
        <v/>
      </c>
    </row>
    <row r="548" ht="22.5" customHeight="1">
      <c r="A548" s="21">
        <v>547.0</v>
      </c>
      <c r="B548" s="22">
        <v>43154.0</v>
      </c>
      <c r="C548" s="23">
        <v>224.0</v>
      </c>
      <c r="D548" s="24" t="s">
        <v>253</v>
      </c>
      <c r="E548" s="35" t="s">
        <v>18</v>
      </c>
      <c r="F548" s="26"/>
      <c r="G548" s="27" t="s">
        <v>38</v>
      </c>
      <c r="H548" s="28">
        <v>2224.0</v>
      </c>
      <c r="I548" s="28">
        <v>14272.73</v>
      </c>
      <c r="J548" s="29">
        <v>3.174255152E7</v>
      </c>
      <c r="K548" s="29">
        <v>12071.036602115424</v>
      </c>
      <c r="L548" s="30">
        <v>34015.15</v>
      </c>
      <c r="M548" s="29">
        <v>4.105981206764465E8</v>
      </c>
      <c r="N548" s="31" t="s">
        <v>641</v>
      </c>
      <c r="O548" s="32"/>
      <c r="P548" s="33" t="str">
        <f t="array" ref="P548">IFERROR(
HYPERLINK(
"https://drive.google.com/file/d/"&amp;
XLOOKUP(O548,'Hoa-Don'!A:A,'Hoa-Don'!D:D)
&amp;"/view",
"🔎"
),
""
)</f>
        <v/>
      </c>
    </row>
    <row r="549" ht="22.5" customHeight="1">
      <c r="A549" s="21">
        <v>548.0</v>
      </c>
      <c r="B549" s="22">
        <v>43154.0</v>
      </c>
      <c r="C549" s="23">
        <v>224.0</v>
      </c>
      <c r="D549" s="24" t="s">
        <v>253</v>
      </c>
      <c r="E549" s="35" t="s">
        <v>18</v>
      </c>
      <c r="F549" s="26"/>
      <c r="G549" s="27" t="s">
        <v>38</v>
      </c>
      <c r="H549" s="28">
        <v>1408.0</v>
      </c>
      <c r="I549" s="28">
        <v>14090.91</v>
      </c>
      <c r="J549" s="29">
        <v>1.984000128E7</v>
      </c>
      <c r="K549" s="29">
        <v>12151.32256607463</v>
      </c>
      <c r="L549" s="30">
        <v>35423.15</v>
      </c>
      <c r="M549" s="29">
        <v>4.304381219564465E8</v>
      </c>
      <c r="N549" s="31" t="s">
        <v>642</v>
      </c>
      <c r="O549" s="32"/>
      <c r="P549" s="33" t="str">
        <f t="array" ref="P549">IFERROR(
HYPERLINK(
"https://drive.google.com/file/d/"&amp;
XLOOKUP(O549,'Hoa-Don'!A:A,'Hoa-Don'!D:D)
&amp;"/view",
"🔎"
),
""
)</f>
        <v/>
      </c>
    </row>
    <row r="550" ht="22.5" customHeight="1">
      <c r="A550" s="21">
        <v>549.0</v>
      </c>
      <c r="B550" s="22">
        <v>43154.0</v>
      </c>
      <c r="C550" s="23">
        <v>228.0</v>
      </c>
      <c r="D550" s="24" t="s">
        <v>253</v>
      </c>
      <c r="E550" s="25" t="s">
        <v>11</v>
      </c>
      <c r="F550" s="26"/>
      <c r="G550" s="27" t="s">
        <v>38</v>
      </c>
      <c r="H550" s="28">
        <v>814.0</v>
      </c>
      <c r="I550" s="28">
        <v>13181.82</v>
      </c>
      <c r="J550" s="29">
        <v>1.073000148E7</v>
      </c>
      <c r="K550" s="29">
        <v>12649.068223735054</v>
      </c>
      <c r="L550" s="30">
        <v>39777.79999999999</v>
      </c>
      <c r="M550" s="29">
        <v>5.0315210599008805E8</v>
      </c>
      <c r="N550" s="31" t="s">
        <v>643</v>
      </c>
      <c r="O550" s="32"/>
      <c r="P550" s="33" t="str">
        <f t="array" ref="P550">IFERROR(
HYPERLINK(
"https://drive.google.com/file/d/"&amp;
XLOOKUP(O550,'Hoa-Don'!A:A,'Hoa-Don'!D:D)
&amp;"/view",
"🔎"
),
""
)</f>
        <v/>
      </c>
    </row>
    <row r="551" ht="22.5" customHeight="1">
      <c r="A551" s="21">
        <v>550.0</v>
      </c>
      <c r="B551" s="22">
        <v>43157.0</v>
      </c>
      <c r="C551" s="23">
        <v>273.0</v>
      </c>
      <c r="D551" s="24" t="s">
        <v>430</v>
      </c>
      <c r="E551" s="25" t="s">
        <v>11</v>
      </c>
      <c r="F551" s="26"/>
      <c r="G551" s="36" t="s">
        <v>42</v>
      </c>
      <c r="H551" s="28">
        <v>18000.0</v>
      </c>
      <c r="I551" s="28">
        <v>12649.068223735054</v>
      </c>
      <c r="J551" s="29">
        <v>2.2768322802723098E8</v>
      </c>
      <c r="K551" s="29">
        <v>12649.068223735054</v>
      </c>
      <c r="L551" s="30">
        <v>21777.79999999999</v>
      </c>
      <c r="M551" s="29">
        <v>2.754688779628571E8</v>
      </c>
      <c r="N551" s="31" t="s">
        <v>644</v>
      </c>
      <c r="O551" s="32"/>
      <c r="P551" s="33" t="str">
        <f t="array" ref="P551">IFERROR(
HYPERLINK(
"https://drive.google.com/file/d/"&amp;
XLOOKUP(O551,'Hoa-Don'!A:A,'Hoa-Don'!D:D)
&amp;"/view",
"🔎"
),
""
)</f>
        <v/>
      </c>
    </row>
    <row r="552" ht="22.5" customHeight="1">
      <c r="A552" s="21">
        <v>551.0</v>
      </c>
      <c r="B552" s="22">
        <v>43157.0</v>
      </c>
      <c r="C552" s="23">
        <v>273.0</v>
      </c>
      <c r="D552" s="24" t="s">
        <v>430</v>
      </c>
      <c r="E552" s="35" t="s">
        <v>18</v>
      </c>
      <c r="F552" s="26"/>
      <c r="G552" s="36" t="s">
        <v>42</v>
      </c>
      <c r="H552" s="28">
        <v>15000.0</v>
      </c>
      <c r="I552" s="28">
        <v>12151.32256607463</v>
      </c>
      <c r="J552" s="29">
        <v>1.8226983849111944E8</v>
      </c>
      <c r="K552" s="29">
        <v>12151.32256607463</v>
      </c>
      <c r="L552" s="30">
        <v>20423.15</v>
      </c>
      <c r="M552" s="29">
        <v>2.481682834653271E8</v>
      </c>
      <c r="N552" s="31" t="s">
        <v>645</v>
      </c>
      <c r="O552" s="32"/>
      <c r="P552" s="33" t="str">
        <f t="array" ref="P552">IFERROR(
HYPERLINK(
"https://drive.google.com/file/d/"&amp;
XLOOKUP(O552,'Hoa-Don'!A:A,'Hoa-Don'!D:D)
&amp;"/view",
"🔎"
),
""
)</f>
        <v/>
      </c>
    </row>
    <row r="553" ht="22.5" customHeight="1">
      <c r="A553" s="21">
        <v>552.0</v>
      </c>
      <c r="B553" s="22">
        <v>43159.0</v>
      </c>
      <c r="C553" s="23">
        <v>274.0</v>
      </c>
      <c r="D553" s="24" t="s">
        <v>130</v>
      </c>
      <c r="E553" s="25" t="s">
        <v>11</v>
      </c>
      <c r="F553" s="26"/>
      <c r="G553" s="36" t="s">
        <v>42</v>
      </c>
      <c r="H553" s="28">
        <v>80.0</v>
      </c>
      <c r="I553" s="28">
        <v>12649.068223735054</v>
      </c>
      <c r="J553" s="29">
        <v>1011925.4578988043</v>
      </c>
      <c r="K553" s="29">
        <v>12649.068223735054</v>
      </c>
      <c r="L553" s="30">
        <v>21697.79999999999</v>
      </c>
      <c r="M553" s="29">
        <v>2.7445695250495833E8</v>
      </c>
      <c r="N553" s="31" t="s">
        <v>646</v>
      </c>
      <c r="O553" s="32"/>
      <c r="P553" s="33" t="str">
        <f t="array" ref="P553">IFERROR(
HYPERLINK(
"https://drive.google.com/file/d/"&amp;
XLOOKUP(O553,'Hoa-Don'!A:A,'Hoa-Don'!D:D)
&amp;"/view",
"🔎"
),
""
)</f>
        <v/>
      </c>
    </row>
    <row r="554" ht="22.5" customHeight="1">
      <c r="A554" s="21">
        <v>553.0</v>
      </c>
      <c r="B554" s="22">
        <v>43161.0</v>
      </c>
      <c r="C554" s="23">
        <v>276.0</v>
      </c>
      <c r="D554" s="24" t="s">
        <v>48</v>
      </c>
      <c r="E554" s="35" t="s">
        <v>18</v>
      </c>
      <c r="F554" s="26"/>
      <c r="G554" s="36" t="s">
        <v>42</v>
      </c>
      <c r="H554" s="28">
        <v>741.85</v>
      </c>
      <c r="I554" s="28">
        <v>12151.32256607463</v>
      </c>
      <c r="J554" s="29">
        <v>9014458.645642465</v>
      </c>
      <c r="K554" s="29">
        <v>12151.32256607463</v>
      </c>
      <c r="L554" s="30">
        <v>19681.300000000003</v>
      </c>
      <c r="M554" s="29">
        <v>2.3915382481968465E8</v>
      </c>
      <c r="N554" s="31" t="s">
        <v>647</v>
      </c>
      <c r="O554" s="32"/>
      <c r="P554" s="33" t="str">
        <f t="array" ref="P554">IFERROR(
HYPERLINK(
"https://drive.google.com/file/d/"&amp;
XLOOKUP(O554,'Hoa-Don'!A:A,'Hoa-Don'!D:D)
&amp;"/view",
"🔎"
),
""
)</f>
        <v/>
      </c>
    </row>
    <row r="555" ht="22.5" customHeight="1">
      <c r="A555" s="21">
        <v>554.0</v>
      </c>
      <c r="B555" s="22">
        <v>43164.0</v>
      </c>
      <c r="C555" s="23">
        <v>278.0</v>
      </c>
      <c r="D555" s="24" t="s">
        <v>48</v>
      </c>
      <c r="E555" s="35" t="s">
        <v>18</v>
      </c>
      <c r="F555" s="26"/>
      <c r="G555" s="36" t="s">
        <v>42</v>
      </c>
      <c r="H555" s="28">
        <v>483.5</v>
      </c>
      <c r="I555" s="28">
        <v>12151.32256607463</v>
      </c>
      <c r="J555" s="29">
        <v>5875164.460697084</v>
      </c>
      <c r="K555" s="29">
        <v>12151.32256607463</v>
      </c>
      <c r="L555" s="30">
        <v>19197.800000000003</v>
      </c>
      <c r="M555" s="29">
        <v>2.3327866035898757E8</v>
      </c>
      <c r="N555" s="31" t="s">
        <v>648</v>
      </c>
      <c r="O555" s="32"/>
      <c r="P555" s="33" t="str">
        <f t="array" ref="P555">IFERROR(
HYPERLINK(
"https://drive.google.com/file/d/"&amp;
XLOOKUP(O555,'Hoa-Don'!A:A,'Hoa-Don'!D:D)
&amp;"/view",
"🔎"
),
""
)</f>
        <v/>
      </c>
    </row>
    <row r="556" ht="22.5" customHeight="1">
      <c r="A556" s="21">
        <v>555.0</v>
      </c>
      <c r="B556" s="22">
        <v>43165.0</v>
      </c>
      <c r="C556" s="23">
        <v>279.0</v>
      </c>
      <c r="D556" s="24" t="s">
        <v>48</v>
      </c>
      <c r="E556" s="35" t="s">
        <v>18</v>
      </c>
      <c r="F556" s="26"/>
      <c r="G556" s="36" t="s">
        <v>42</v>
      </c>
      <c r="H556" s="28">
        <v>465.39</v>
      </c>
      <c r="I556" s="28">
        <v>12151.32256607463</v>
      </c>
      <c r="J556" s="29">
        <v>5655104.009025472</v>
      </c>
      <c r="K556" s="29">
        <v>12151.32256607463</v>
      </c>
      <c r="L556" s="30">
        <v>18732.410000000003</v>
      </c>
      <c r="M556" s="29">
        <v>2.2762355634996212E8</v>
      </c>
      <c r="N556" s="31" t="s">
        <v>649</v>
      </c>
      <c r="O556" s="32"/>
      <c r="P556" s="33" t="str">
        <f t="array" ref="P556">IFERROR(
HYPERLINK(
"https://drive.google.com/file/d/"&amp;
XLOOKUP(O556,'Hoa-Don'!A:A,'Hoa-Don'!D:D)
&amp;"/view",
"🔎"
),
""
)</f>
        <v/>
      </c>
    </row>
    <row r="557" ht="22.5" customHeight="1">
      <c r="A557" s="21">
        <v>556.0</v>
      </c>
      <c r="B557" s="22">
        <v>43165.0</v>
      </c>
      <c r="C557" s="23">
        <v>279.0</v>
      </c>
      <c r="D557" s="24" t="s">
        <v>48</v>
      </c>
      <c r="E557" s="35" t="s">
        <v>18</v>
      </c>
      <c r="F557" s="26"/>
      <c r="G557" s="36" t="s">
        <v>42</v>
      </c>
      <c r="H557" s="28">
        <v>9.7</v>
      </c>
      <c r="I557" s="28">
        <v>12151.32256607463</v>
      </c>
      <c r="J557" s="29">
        <v>117867.8288909239</v>
      </c>
      <c r="K557" s="29">
        <v>12151.32256607463</v>
      </c>
      <c r="L557" s="30">
        <v>18722.710000000003</v>
      </c>
      <c r="M557" s="29">
        <v>2.2750568852107117E8</v>
      </c>
      <c r="N557" s="31" t="s">
        <v>650</v>
      </c>
      <c r="O557" s="32"/>
      <c r="P557" s="33" t="str">
        <f t="array" ref="P557">IFERROR(
HYPERLINK(
"https://drive.google.com/file/d/"&amp;
XLOOKUP(O557,'Hoa-Don'!A:A,'Hoa-Don'!D:D)
&amp;"/view",
"🔎"
),
""
)</f>
        <v/>
      </c>
    </row>
    <row r="558" ht="22.5" customHeight="1">
      <c r="A558" s="21">
        <v>557.0</v>
      </c>
      <c r="B558" s="22">
        <v>43166.0</v>
      </c>
      <c r="C558" s="23">
        <v>280.0</v>
      </c>
      <c r="D558" s="24" t="s">
        <v>48</v>
      </c>
      <c r="E558" s="35" t="s">
        <v>18</v>
      </c>
      <c r="F558" s="26"/>
      <c r="G558" s="36" t="s">
        <v>42</v>
      </c>
      <c r="H558" s="28">
        <v>45.0</v>
      </c>
      <c r="I558" s="28">
        <v>12151.32256607463</v>
      </c>
      <c r="J558" s="29">
        <v>546809.5154733583</v>
      </c>
      <c r="K558" s="29">
        <v>12151.32256607463</v>
      </c>
      <c r="L558" s="30">
        <v>18677.710000000003</v>
      </c>
      <c r="M558" s="29">
        <v>2.2695887900559783E8</v>
      </c>
      <c r="N558" s="31" t="s">
        <v>651</v>
      </c>
      <c r="O558" s="32"/>
      <c r="P558" s="33" t="str">
        <f t="array" ref="P558">IFERROR(
HYPERLINK(
"https://drive.google.com/file/d/"&amp;
XLOOKUP(O558,'Hoa-Don'!A:A,'Hoa-Don'!D:D)
&amp;"/view",
"🔎"
),
""
)</f>
        <v/>
      </c>
    </row>
    <row r="559" ht="22.5" customHeight="1">
      <c r="A559" s="21">
        <v>558.0</v>
      </c>
      <c r="B559" s="22">
        <v>43178.0</v>
      </c>
      <c r="C559" s="23">
        <v>432.0</v>
      </c>
      <c r="D559" s="24" t="s">
        <v>40</v>
      </c>
      <c r="E559" s="25" t="s">
        <v>11</v>
      </c>
      <c r="F559" s="26"/>
      <c r="G559" s="27" t="s">
        <v>38</v>
      </c>
      <c r="H559" s="28">
        <v>7060.0</v>
      </c>
      <c r="I559" s="28">
        <v>14181.82</v>
      </c>
      <c r="J559" s="29">
        <v>1.001236492E8</v>
      </c>
      <c r="K559" s="29">
        <v>13025.356658192159</v>
      </c>
      <c r="L559" s="30">
        <v>28757.79999999999</v>
      </c>
      <c r="M559" s="29">
        <v>3.745806017049583E8</v>
      </c>
      <c r="N559" s="31" t="s">
        <v>652</v>
      </c>
      <c r="O559" s="32"/>
      <c r="P559" s="33" t="str">
        <f t="array" ref="P559">IFERROR(
HYPERLINK(
"https://drive.google.com/file/d/"&amp;
XLOOKUP(O559,'Hoa-Don'!A:A,'Hoa-Don'!D:D)
&amp;"/view",
"🔎"
),
""
)</f>
        <v/>
      </c>
    </row>
    <row r="560" ht="22.5" customHeight="1">
      <c r="A560" s="21">
        <v>559.0</v>
      </c>
      <c r="B560" s="22">
        <v>43190.0</v>
      </c>
      <c r="C560" s="23">
        <v>281.0</v>
      </c>
      <c r="D560" s="24" t="s">
        <v>130</v>
      </c>
      <c r="E560" s="35" t="s">
        <v>18</v>
      </c>
      <c r="F560" s="26"/>
      <c r="G560" s="36" t="s">
        <v>42</v>
      </c>
      <c r="H560" s="28">
        <v>65.0</v>
      </c>
      <c r="I560" s="28">
        <v>12151.32256607463</v>
      </c>
      <c r="J560" s="29">
        <v>789835.966794851</v>
      </c>
      <c r="K560" s="29">
        <v>12151.32256607463</v>
      </c>
      <c r="L560" s="30">
        <v>18612.710000000003</v>
      </c>
      <c r="M560" s="29">
        <v>2.2616904303880295E8</v>
      </c>
      <c r="N560" s="31" t="s">
        <v>653</v>
      </c>
      <c r="O560" s="32"/>
      <c r="P560" s="33" t="str">
        <f t="array" ref="P560">IFERROR(
HYPERLINK(
"https://drive.google.com/file/d/"&amp;
XLOOKUP(O560,'Hoa-Don'!A:A,'Hoa-Don'!D:D)
&amp;"/view",
"🔎"
),
""
)</f>
        <v/>
      </c>
    </row>
    <row r="561" ht="22.5" customHeight="1">
      <c r="A561" s="21">
        <v>560.0</v>
      </c>
      <c r="B561" s="22">
        <v>43200.0</v>
      </c>
      <c r="C561" s="23">
        <v>977.0</v>
      </c>
      <c r="D561" s="24" t="s">
        <v>402</v>
      </c>
      <c r="E561" s="35" t="s">
        <v>18</v>
      </c>
      <c r="F561" s="26"/>
      <c r="G561" s="27" t="s">
        <v>38</v>
      </c>
      <c r="H561" s="28">
        <v>10220.0</v>
      </c>
      <c r="I561" s="28">
        <v>12463.71</v>
      </c>
      <c r="J561" s="29">
        <v>1.2737911619999999E8</v>
      </c>
      <c r="K561" s="29">
        <v>12262.050956667024</v>
      </c>
      <c r="L561" s="30">
        <v>28832.710000000003</v>
      </c>
      <c r="M561" s="29">
        <v>3.535481592388029E8</v>
      </c>
      <c r="N561" s="31" t="s">
        <v>654</v>
      </c>
      <c r="O561" s="32"/>
      <c r="P561" s="33" t="str">
        <f t="array" ref="P561">IFERROR(
HYPERLINK(
"https://drive.google.com/file/d/"&amp;
XLOOKUP(O561,'Hoa-Don'!A:A,'Hoa-Don'!D:D)
&amp;"/view",
"🔎"
),
""
)</f>
        <v/>
      </c>
    </row>
    <row r="562" ht="22.5" customHeight="1">
      <c r="A562" s="21">
        <v>561.0</v>
      </c>
      <c r="B562" s="22">
        <v>43208.0</v>
      </c>
      <c r="C562" s="23">
        <v>282.0</v>
      </c>
      <c r="D562" s="24" t="s">
        <v>93</v>
      </c>
      <c r="E562" s="25" t="s">
        <v>11</v>
      </c>
      <c r="F562" s="26"/>
      <c r="G562" s="36" t="s">
        <v>42</v>
      </c>
      <c r="H562" s="28">
        <v>8301.7</v>
      </c>
      <c r="I562" s="28">
        <v>13025.356658192159</v>
      </c>
      <c r="J562" s="29">
        <v>1.0813260336931385E8</v>
      </c>
      <c r="K562" s="29">
        <v>13025.356658192159</v>
      </c>
      <c r="L562" s="30">
        <v>20456.099999999988</v>
      </c>
      <c r="M562" s="29">
        <v>2.6644799833564445E8</v>
      </c>
      <c r="N562" s="31" t="s">
        <v>655</v>
      </c>
      <c r="O562" s="32"/>
      <c r="P562" s="33" t="str">
        <f t="array" ref="P562">IFERROR(
HYPERLINK(
"https://drive.google.com/file/d/"&amp;
XLOOKUP(O562,'Hoa-Don'!A:A,'Hoa-Don'!D:D)
&amp;"/view",
"🔎"
),
""
)</f>
        <v/>
      </c>
    </row>
    <row r="563" ht="22.5" customHeight="1">
      <c r="A563" s="21">
        <v>562.0</v>
      </c>
      <c r="B563" s="22">
        <v>43209.0</v>
      </c>
      <c r="C563" s="23">
        <v>598.0</v>
      </c>
      <c r="D563" s="24" t="s">
        <v>253</v>
      </c>
      <c r="E563" s="25" t="s">
        <v>11</v>
      </c>
      <c r="F563" s="26"/>
      <c r="G563" s="27" t="s">
        <v>38</v>
      </c>
      <c r="H563" s="28">
        <v>1040.0</v>
      </c>
      <c r="I563" s="28">
        <v>15272.73</v>
      </c>
      <c r="J563" s="29">
        <v>1.58836392E7</v>
      </c>
      <c r="K563" s="29">
        <v>13134.08653363376</v>
      </c>
      <c r="L563" s="30">
        <v>21496.099999999988</v>
      </c>
      <c r="M563" s="29">
        <v>2.823316375356445E8</v>
      </c>
      <c r="N563" s="31" t="s">
        <v>656</v>
      </c>
      <c r="O563" s="32"/>
      <c r="P563" s="33" t="str">
        <f t="array" ref="P563">IFERROR(
HYPERLINK(
"https://drive.google.com/file/d/"&amp;
XLOOKUP(O563,'Hoa-Don'!A:A,'Hoa-Don'!D:D)
&amp;"/view",
"🔎"
),
""
)</f>
        <v/>
      </c>
    </row>
    <row r="564" ht="22.5" customHeight="1">
      <c r="A564" s="21">
        <v>563.0</v>
      </c>
      <c r="B564" s="22">
        <v>43209.0</v>
      </c>
      <c r="C564" s="23">
        <v>598.0</v>
      </c>
      <c r="D564" s="24" t="s">
        <v>253</v>
      </c>
      <c r="E564" s="25" t="s">
        <v>11</v>
      </c>
      <c r="F564" s="26"/>
      <c r="G564" s="27" t="s">
        <v>38</v>
      </c>
      <c r="H564" s="28">
        <v>570.0</v>
      </c>
      <c r="I564" s="28">
        <v>15454.55</v>
      </c>
      <c r="J564" s="29">
        <v>8809093.5</v>
      </c>
      <c r="K564" s="29">
        <v>13194.027537065664</v>
      </c>
      <c r="L564" s="30">
        <v>22066.099999999988</v>
      </c>
      <c r="M564" s="29">
        <v>2.911407310356445E8</v>
      </c>
      <c r="N564" s="31" t="s">
        <v>657</v>
      </c>
      <c r="O564" s="32"/>
      <c r="P564" s="33" t="str">
        <f t="array" ref="P564">IFERROR(
HYPERLINK(
"https://drive.google.com/file/d/"&amp;
XLOOKUP(O564,'Hoa-Don'!A:A,'Hoa-Don'!D:D)
&amp;"/view",
"🔎"
),
""
)</f>
        <v/>
      </c>
    </row>
    <row r="565" ht="22.5" customHeight="1">
      <c r="A565" s="21">
        <v>564.0</v>
      </c>
      <c r="B565" s="22">
        <v>43209.0</v>
      </c>
      <c r="C565" s="23">
        <v>598.0</v>
      </c>
      <c r="D565" s="24" t="s">
        <v>253</v>
      </c>
      <c r="E565" s="25" t="s">
        <v>11</v>
      </c>
      <c r="F565" s="26"/>
      <c r="G565" s="27" t="s">
        <v>38</v>
      </c>
      <c r="H565" s="28">
        <v>930.0</v>
      </c>
      <c r="I565" s="28">
        <v>14545.45</v>
      </c>
      <c r="J565" s="29">
        <v>1.35272685E7</v>
      </c>
      <c r="K565" s="29">
        <v>13248.681277940374</v>
      </c>
      <c r="L565" s="30">
        <v>22996.099999999988</v>
      </c>
      <c r="M565" s="29">
        <v>3.046679995356445E8</v>
      </c>
      <c r="N565" s="31" t="s">
        <v>658</v>
      </c>
      <c r="O565" s="32"/>
      <c r="P565" s="33" t="str">
        <f t="array" ref="P565">IFERROR(
HYPERLINK(
"https://drive.google.com/file/d/"&amp;
XLOOKUP(O565,'Hoa-Don'!A:A,'Hoa-Don'!D:D)
&amp;"/view",
"🔎"
),
""
)</f>
        <v/>
      </c>
    </row>
    <row r="566" ht="22.5" customHeight="1">
      <c r="A566" s="21">
        <v>565.0</v>
      </c>
      <c r="B566" s="22">
        <v>43215.0</v>
      </c>
      <c r="C566" s="23">
        <v>283.0</v>
      </c>
      <c r="D566" s="24" t="s">
        <v>460</v>
      </c>
      <c r="E566" s="25" t="s">
        <v>11</v>
      </c>
      <c r="F566" s="26"/>
      <c r="G566" s="36" t="s">
        <v>42</v>
      </c>
      <c r="H566" s="28">
        <v>4226.0</v>
      </c>
      <c r="I566" s="28">
        <v>13248.681277940374</v>
      </c>
      <c r="J566" s="29">
        <v>5.598892708057602E7</v>
      </c>
      <c r="K566" s="29">
        <v>13248.681277940374</v>
      </c>
      <c r="L566" s="30">
        <v>18770.099999999988</v>
      </c>
      <c r="M566" s="29">
        <v>2.4867907245506844E8</v>
      </c>
      <c r="N566" s="31" t="s">
        <v>659</v>
      </c>
      <c r="O566" s="32"/>
      <c r="P566" s="33" t="str">
        <f t="array" ref="P566">IFERROR(
HYPERLINK(
"https://drive.google.com/file/d/"&amp;
XLOOKUP(O566,'Hoa-Don'!A:A,'Hoa-Don'!D:D)
&amp;"/view",
"🔎"
),
""
)</f>
        <v/>
      </c>
    </row>
    <row r="567" ht="22.5" customHeight="1">
      <c r="A567" s="21">
        <v>566.0</v>
      </c>
      <c r="B567" s="22">
        <v>43215.0</v>
      </c>
      <c r="C567" s="23">
        <v>283.0</v>
      </c>
      <c r="D567" s="24" t="s">
        <v>460</v>
      </c>
      <c r="E567" s="35" t="s">
        <v>18</v>
      </c>
      <c r="F567" s="26"/>
      <c r="G567" s="36" t="s">
        <v>42</v>
      </c>
      <c r="H567" s="28">
        <v>3031.0</v>
      </c>
      <c r="I567" s="28">
        <v>12262.050956667024</v>
      </c>
      <c r="J567" s="29">
        <v>3.716627644965775E7</v>
      </c>
      <c r="K567" s="29">
        <v>12262.050956667024</v>
      </c>
      <c r="L567" s="30">
        <v>25801.710000000003</v>
      </c>
      <c r="M567" s="29">
        <v>3.163818827891452E8</v>
      </c>
      <c r="N567" s="31" t="s">
        <v>660</v>
      </c>
      <c r="O567" s="32"/>
      <c r="P567" s="33" t="str">
        <f t="array" ref="P567">IFERROR(
HYPERLINK(
"https://drive.google.com/file/d/"&amp;
XLOOKUP(O567,'Hoa-Don'!A:A,'Hoa-Don'!D:D)
&amp;"/view",
"🔎"
),
""
)</f>
        <v/>
      </c>
    </row>
    <row r="568" ht="22.5" customHeight="1">
      <c r="A568" s="21">
        <v>567.0</v>
      </c>
      <c r="B568" s="22">
        <v>43216.0</v>
      </c>
      <c r="C568" s="23">
        <v>284.0</v>
      </c>
      <c r="D568" s="24" t="s">
        <v>63</v>
      </c>
      <c r="E568" s="35" t="s">
        <v>18</v>
      </c>
      <c r="F568" s="26"/>
      <c r="G568" s="36" t="s">
        <v>42</v>
      </c>
      <c r="H568" s="28">
        <v>167.0</v>
      </c>
      <c r="I568" s="28">
        <v>12262.050956667024</v>
      </c>
      <c r="J568" s="29">
        <v>2047762.509763393</v>
      </c>
      <c r="K568" s="29">
        <v>12262.050956667024</v>
      </c>
      <c r="L568" s="30">
        <v>25634.710000000003</v>
      </c>
      <c r="M568" s="29">
        <v>3.1433412027938175E8</v>
      </c>
      <c r="N568" s="31" t="s">
        <v>661</v>
      </c>
      <c r="O568" s="32"/>
      <c r="P568" s="33" t="str">
        <f t="array" ref="P568">IFERROR(
HYPERLINK(
"https://drive.google.com/file/d/"&amp;
XLOOKUP(O568,'Hoa-Don'!A:A,'Hoa-Don'!D:D)
&amp;"/view",
"🔎"
),
""
)</f>
        <v/>
      </c>
    </row>
    <row r="569" ht="22.5" customHeight="1">
      <c r="A569" s="21">
        <v>568.0</v>
      </c>
      <c r="B569" s="22">
        <v>43217.0</v>
      </c>
      <c r="C569" s="23">
        <v>2.0</v>
      </c>
      <c r="D569" s="24" t="s">
        <v>402</v>
      </c>
      <c r="E569" s="35" t="s">
        <v>18</v>
      </c>
      <c r="F569" s="26"/>
      <c r="G569" s="27" t="s">
        <v>38</v>
      </c>
      <c r="H569" s="28">
        <v>3890.0</v>
      </c>
      <c r="I569" s="28">
        <v>12363.64</v>
      </c>
      <c r="J569" s="29">
        <v>4.8094559599999994E7</v>
      </c>
      <c r="K569" s="29">
        <v>12275.435724157214</v>
      </c>
      <c r="L569" s="30">
        <v>29524.710000000003</v>
      </c>
      <c r="M569" s="29">
        <v>3.624286798793818E8</v>
      </c>
      <c r="N569" s="31" t="s">
        <v>662</v>
      </c>
      <c r="O569" s="32"/>
      <c r="P569" s="33" t="str">
        <f t="array" ref="P569">IFERROR(
HYPERLINK(
"https://drive.google.com/file/d/"&amp;
XLOOKUP(O569,'Hoa-Don'!A:A,'Hoa-Don'!D:D)
&amp;"/view",
"🔎"
),
""
)</f>
        <v/>
      </c>
    </row>
    <row r="570" ht="22.5" customHeight="1">
      <c r="A570" s="21">
        <v>569.0</v>
      </c>
      <c r="B570" s="22">
        <v>43220.0</v>
      </c>
      <c r="C570" s="23">
        <v>285.0</v>
      </c>
      <c r="D570" s="24" t="s">
        <v>130</v>
      </c>
      <c r="E570" s="25" t="s">
        <v>11</v>
      </c>
      <c r="F570" s="26"/>
      <c r="G570" s="36" t="s">
        <v>42</v>
      </c>
      <c r="H570" s="28">
        <v>60.0</v>
      </c>
      <c r="I570" s="28">
        <v>13248.681277940374</v>
      </c>
      <c r="J570" s="29">
        <v>794920.8766764224</v>
      </c>
      <c r="K570" s="29">
        <v>13248.681277940374</v>
      </c>
      <c r="L570" s="30">
        <v>18710.099999999988</v>
      </c>
      <c r="M570" s="29">
        <v>2.4788415157839203E8</v>
      </c>
      <c r="N570" s="31" t="s">
        <v>663</v>
      </c>
      <c r="O570" s="32"/>
      <c r="P570" s="33" t="str">
        <f t="array" ref="P570">IFERROR(
HYPERLINK(
"https://drive.google.com/file/d/"&amp;
XLOOKUP(O570,'Hoa-Don'!A:A,'Hoa-Don'!D:D)
&amp;"/view",
"🔎"
),
""
)</f>
        <v/>
      </c>
    </row>
    <row r="571" ht="22.5" customHeight="1">
      <c r="A571" s="21">
        <v>570.0</v>
      </c>
      <c r="B571" s="22">
        <v>43225.0</v>
      </c>
      <c r="C571" s="23">
        <v>286.0</v>
      </c>
      <c r="D571" s="24" t="s">
        <v>48</v>
      </c>
      <c r="E571" s="35" t="s">
        <v>18</v>
      </c>
      <c r="F571" s="26"/>
      <c r="G571" s="36" t="s">
        <v>42</v>
      </c>
      <c r="H571" s="28">
        <v>1100.75</v>
      </c>
      <c r="I571" s="28">
        <v>12275.435724157214</v>
      </c>
      <c r="J571" s="29">
        <v>1.3512185873366054E7</v>
      </c>
      <c r="K571" s="29">
        <v>12275.435724157214</v>
      </c>
      <c r="L571" s="30">
        <v>28423.960000000003</v>
      </c>
      <c r="M571" s="29">
        <v>3.489164940060157E8</v>
      </c>
      <c r="N571" s="31" t="s">
        <v>664</v>
      </c>
      <c r="O571" s="32"/>
      <c r="P571" s="33" t="str">
        <f t="array" ref="P571">IFERROR(
HYPERLINK(
"https://drive.google.com/file/d/"&amp;
XLOOKUP(O571,'Hoa-Don'!A:A,'Hoa-Don'!D:D)
&amp;"/view",
"🔎"
),
""
)</f>
        <v/>
      </c>
    </row>
    <row r="572" ht="22.5" customHeight="1">
      <c r="A572" s="21">
        <v>571.0</v>
      </c>
      <c r="B572" s="22">
        <v>43248.0</v>
      </c>
      <c r="C572" s="23">
        <v>288.0</v>
      </c>
      <c r="D572" s="24" t="s">
        <v>665</v>
      </c>
      <c r="E572" s="35" t="s">
        <v>18</v>
      </c>
      <c r="F572" s="26"/>
      <c r="G572" s="36" t="s">
        <v>42</v>
      </c>
      <c r="H572" s="28">
        <v>369.0</v>
      </c>
      <c r="I572" s="28">
        <v>12275.435724157214</v>
      </c>
      <c r="J572" s="29">
        <v>4529635.782214012</v>
      </c>
      <c r="K572" s="29">
        <v>12275.435724157214</v>
      </c>
      <c r="L572" s="30">
        <v>28054.960000000003</v>
      </c>
      <c r="M572" s="29">
        <v>3.4438685822380173E8</v>
      </c>
      <c r="N572" s="31" t="s">
        <v>666</v>
      </c>
      <c r="O572" s="32"/>
      <c r="P572" s="33" t="str">
        <f t="array" ref="P572">IFERROR(
HYPERLINK(
"https://drive.google.com/file/d/"&amp;
XLOOKUP(O572,'Hoa-Don'!A:A,'Hoa-Don'!D:D)
&amp;"/view",
"🔎"
),
""
)</f>
        <v/>
      </c>
    </row>
    <row r="573" ht="22.5" customHeight="1">
      <c r="A573" s="21">
        <v>572.0</v>
      </c>
      <c r="B573" s="22">
        <v>43249.0</v>
      </c>
      <c r="C573" s="23">
        <v>289.0</v>
      </c>
      <c r="D573" s="24" t="s">
        <v>48</v>
      </c>
      <c r="E573" s="35" t="s">
        <v>18</v>
      </c>
      <c r="F573" s="26"/>
      <c r="G573" s="36" t="s">
        <v>42</v>
      </c>
      <c r="H573" s="28">
        <v>158.0</v>
      </c>
      <c r="I573" s="28">
        <v>12275.435724157214</v>
      </c>
      <c r="J573" s="29">
        <v>1939518.8444168398</v>
      </c>
      <c r="K573" s="29">
        <v>12275.435724157214</v>
      </c>
      <c r="L573" s="30">
        <v>27896.960000000003</v>
      </c>
      <c r="M573" s="29">
        <v>3.424473393793849E8</v>
      </c>
      <c r="N573" s="31" t="s">
        <v>667</v>
      </c>
      <c r="O573" s="32"/>
      <c r="P573" s="33" t="str">
        <f t="array" ref="P573">IFERROR(
HYPERLINK(
"https://drive.google.com/file/d/"&amp;
XLOOKUP(O573,'Hoa-Don'!A:A,'Hoa-Don'!D:D)
&amp;"/view",
"🔎"
),
""
)</f>
        <v/>
      </c>
    </row>
    <row r="574" ht="22.5" customHeight="1">
      <c r="A574" s="21">
        <v>573.0</v>
      </c>
      <c r="B574" s="22">
        <v>43249.0</v>
      </c>
      <c r="C574" s="23">
        <v>289.0</v>
      </c>
      <c r="D574" s="24" t="s">
        <v>48</v>
      </c>
      <c r="E574" s="35" t="s">
        <v>18</v>
      </c>
      <c r="F574" s="26"/>
      <c r="G574" s="36" t="s">
        <v>42</v>
      </c>
      <c r="H574" s="28">
        <v>78.8</v>
      </c>
      <c r="I574" s="28">
        <v>12275.435724157214</v>
      </c>
      <c r="J574" s="29">
        <v>967304.3350635885</v>
      </c>
      <c r="K574" s="29">
        <v>12275.435724157214</v>
      </c>
      <c r="L574" s="30">
        <v>27818.160000000003</v>
      </c>
      <c r="M574" s="29">
        <v>3.414800350443213E8</v>
      </c>
      <c r="N574" s="31" t="s">
        <v>668</v>
      </c>
      <c r="O574" s="32"/>
      <c r="P574" s="33" t="str">
        <f t="array" ref="P574">IFERROR(
HYPERLINK(
"https://drive.google.com/file/d/"&amp;
XLOOKUP(O574,'Hoa-Don'!A:A,'Hoa-Don'!D:D)
&amp;"/view",
"🔎"
),
""
)</f>
        <v/>
      </c>
    </row>
    <row r="575" ht="22.5" customHeight="1">
      <c r="A575" s="21">
        <v>574.0</v>
      </c>
      <c r="B575" s="22">
        <v>43249.0</v>
      </c>
      <c r="C575" s="23">
        <v>289.0</v>
      </c>
      <c r="D575" s="24" t="s">
        <v>48</v>
      </c>
      <c r="E575" s="35" t="s">
        <v>18</v>
      </c>
      <c r="F575" s="26"/>
      <c r="G575" s="36" t="s">
        <v>42</v>
      </c>
      <c r="H575" s="28">
        <v>67.82</v>
      </c>
      <c r="I575" s="28">
        <v>12275.435724157214</v>
      </c>
      <c r="J575" s="29">
        <v>832520.0508123422</v>
      </c>
      <c r="K575" s="29">
        <v>12275.435724157214</v>
      </c>
      <c r="L575" s="30">
        <v>27750.340000000004</v>
      </c>
      <c r="M575" s="29">
        <v>3.4064751499350893E8</v>
      </c>
      <c r="N575" s="31" t="s">
        <v>669</v>
      </c>
      <c r="O575" s="32"/>
      <c r="P575" s="33" t="str">
        <f t="array" ref="P575">IFERROR(
HYPERLINK(
"https://drive.google.com/file/d/"&amp;
XLOOKUP(O575,'Hoa-Don'!A:A,'Hoa-Don'!D:D)
&amp;"/view",
"🔎"
),
""
)</f>
        <v/>
      </c>
    </row>
    <row r="576" ht="22.5" customHeight="1">
      <c r="A576" s="21">
        <v>575.0</v>
      </c>
      <c r="B576" s="22">
        <v>43249.0</v>
      </c>
      <c r="C576" s="23">
        <v>289.0</v>
      </c>
      <c r="D576" s="24" t="s">
        <v>48</v>
      </c>
      <c r="E576" s="35" t="s">
        <v>18</v>
      </c>
      <c r="F576" s="26"/>
      <c r="G576" s="36" t="s">
        <v>42</v>
      </c>
      <c r="H576" s="28">
        <v>107.29</v>
      </c>
      <c r="I576" s="28">
        <v>12275.435724157214</v>
      </c>
      <c r="J576" s="29">
        <v>1317031.4988448275</v>
      </c>
      <c r="K576" s="29">
        <v>12275.435724157214</v>
      </c>
      <c r="L576" s="30">
        <v>27643.050000000003</v>
      </c>
      <c r="M576" s="29">
        <v>3.3933048349466413E8</v>
      </c>
      <c r="N576" s="31" t="s">
        <v>670</v>
      </c>
      <c r="O576" s="32"/>
      <c r="P576" s="33" t="str">
        <f t="array" ref="P576">IFERROR(
HYPERLINK(
"https://drive.google.com/file/d/"&amp;
XLOOKUP(O576,'Hoa-Don'!A:A,'Hoa-Don'!D:D)
&amp;"/view",
"🔎"
),
""
)</f>
        <v/>
      </c>
    </row>
    <row r="577" ht="22.5" customHeight="1">
      <c r="A577" s="21">
        <v>576.0</v>
      </c>
      <c r="B577" s="22">
        <v>43250.0</v>
      </c>
      <c r="C577" s="23">
        <v>290.0</v>
      </c>
      <c r="D577" s="24" t="s">
        <v>48</v>
      </c>
      <c r="E577" s="35" t="s">
        <v>18</v>
      </c>
      <c r="F577" s="26"/>
      <c r="G577" s="36" t="s">
        <v>42</v>
      </c>
      <c r="H577" s="28">
        <v>180.92</v>
      </c>
      <c r="I577" s="28">
        <v>12275.435724157214</v>
      </c>
      <c r="J577" s="29">
        <v>2220871.831214523</v>
      </c>
      <c r="K577" s="29">
        <v>12275.435724157214</v>
      </c>
      <c r="L577" s="30">
        <v>27462.130000000005</v>
      </c>
      <c r="M577" s="29">
        <v>3.3710961166344965E8</v>
      </c>
      <c r="N577" s="31" t="s">
        <v>671</v>
      </c>
      <c r="O577" s="32"/>
      <c r="P577" s="33" t="str">
        <f t="array" ref="P577">IFERROR(
HYPERLINK(
"https://drive.google.com/file/d/"&amp;
XLOOKUP(O577,'Hoa-Don'!A:A,'Hoa-Don'!D:D)
&amp;"/view",
"🔎"
),
""
)</f>
        <v/>
      </c>
    </row>
    <row r="578" ht="22.5" customHeight="1">
      <c r="A578" s="21">
        <v>577.0</v>
      </c>
      <c r="B578" s="22">
        <v>43250.0</v>
      </c>
      <c r="C578" s="23">
        <v>290.0</v>
      </c>
      <c r="D578" s="24" t="s">
        <v>48</v>
      </c>
      <c r="E578" s="35" t="s">
        <v>18</v>
      </c>
      <c r="F578" s="26"/>
      <c r="G578" s="36" t="s">
        <v>42</v>
      </c>
      <c r="H578" s="28">
        <v>254.34</v>
      </c>
      <c r="I578" s="28">
        <v>12275.435724157214</v>
      </c>
      <c r="J578" s="29">
        <v>3122134.322082146</v>
      </c>
      <c r="K578" s="29">
        <v>12275.435724157214</v>
      </c>
      <c r="L578" s="30">
        <v>27207.790000000005</v>
      </c>
      <c r="M578" s="29">
        <v>3.339874773413675E8</v>
      </c>
      <c r="N578" s="31" t="s">
        <v>672</v>
      </c>
      <c r="O578" s="32"/>
      <c r="P578" s="33" t="str">
        <f t="array" ref="P578">IFERROR(
HYPERLINK(
"https://drive.google.com/file/d/"&amp;
XLOOKUP(O578,'Hoa-Don'!A:A,'Hoa-Don'!D:D)
&amp;"/view",
"🔎"
),
""
)</f>
        <v/>
      </c>
    </row>
    <row r="579" ht="22.5" customHeight="1">
      <c r="A579" s="21">
        <v>578.0</v>
      </c>
      <c r="B579" s="22">
        <v>43250.0</v>
      </c>
      <c r="C579" s="23">
        <v>290.0</v>
      </c>
      <c r="D579" s="24" t="s">
        <v>48</v>
      </c>
      <c r="E579" s="35" t="s">
        <v>18</v>
      </c>
      <c r="F579" s="26"/>
      <c r="G579" s="36" t="s">
        <v>42</v>
      </c>
      <c r="H579" s="28">
        <v>243.85</v>
      </c>
      <c r="I579" s="28">
        <v>12275.435724157214</v>
      </c>
      <c r="J579" s="29">
        <v>2993365.001335737</v>
      </c>
      <c r="K579" s="29">
        <v>12275.435724157214</v>
      </c>
      <c r="L579" s="30">
        <v>26963.940000000006</v>
      </c>
      <c r="M579" s="29">
        <v>3.3099411234003174E8</v>
      </c>
      <c r="N579" s="31" t="s">
        <v>673</v>
      </c>
      <c r="O579" s="32"/>
      <c r="P579" s="33" t="str">
        <f t="array" ref="P579">IFERROR(
HYPERLINK(
"https://drive.google.com/file/d/"&amp;
XLOOKUP(O579,'Hoa-Don'!A:A,'Hoa-Don'!D:D)
&amp;"/view",
"🔎"
),
""
)</f>
        <v/>
      </c>
    </row>
    <row r="580" ht="22.5" customHeight="1">
      <c r="A580" s="21">
        <v>579.0</v>
      </c>
      <c r="B580" s="22">
        <v>43250.0</v>
      </c>
      <c r="C580" s="23">
        <v>290.0</v>
      </c>
      <c r="D580" s="24" t="s">
        <v>48</v>
      </c>
      <c r="E580" s="35" t="s">
        <v>18</v>
      </c>
      <c r="F580" s="26"/>
      <c r="G580" s="36" t="s">
        <v>42</v>
      </c>
      <c r="H580" s="28">
        <v>500.0</v>
      </c>
      <c r="I580" s="28">
        <v>12275.435724157214</v>
      </c>
      <c r="J580" s="29">
        <v>6137717.862078607</v>
      </c>
      <c r="K580" s="29">
        <v>12275.435724157214</v>
      </c>
      <c r="L580" s="30">
        <v>26463.940000000006</v>
      </c>
      <c r="M580" s="29">
        <v>3.2485639447795314E8</v>
      </c>
      <c r="N580" s="31" t="s">
        <v>674</v>
      </c>
      <c r="O580" s="32"/>
      <c r="P580" s="33" t="str">
        <f t="array" ref="P580">IFERROR(
HYPERLINK(
"https://drive.google.com/file/d/"&amp;
XLOOKUP(O580,'Hoa-Don'!A:A,'Hoa-Don'!D:D)
&amp;"/view",
"🔎"
),
""
)</f>
        <v/>
      </c>
    </row>
    <row r="581" ht="22.5" customHeight="1">
      <c r="A581" s="21">
        <v>580.0</v>
      </c>
      <c r="B581" s="22">
        <v>43251.0</v>
      </c>
      <c r="C581" s="23">
        <v>291.0</v>
      </c>
      <c r="D581" s="24" t="s">
        <v>48</v>
      </c>
      <c r="E581" s="35" t="s">
        <v>18</v>
      </c>
      <c r="F581" s="26"/>
      <c r="G581" s="36" t="s">
        <v>42</v>
      </c>
      <c r="H581" s="28">
        <v>1185.0</v>
      </c>
      <c r="I581" s="28">
        <v>12275.435724157214</v>
      </c>
      <c r="J581" s="29">
        <v>1.45463913331263E7</v>
      </c>
      <c r="K581" s="29">
        <v>12275.435724157214</v>
      </c>
      <c r="L581" s="30">
        <v>25278.940000000006</v>
      </c>
      <c r="M581" s="29">
        <v>3.103100031448268E8</v>
      </c>
      <c r="N581" s="31" t="s">
        <v>675</v>
      </c>
      <c r="O581" s="32"/>
      <c r="P581" s="33" t="str">
        <f t="array" ref="P581">IFERROR(
HYPERLINK(
"https://drive.google.com/file/d/"&amp;
XLOOKUP(O581,'Hoa-Don'!A:A,'Hoa-Don'!D:D)
&amp;"/view",
"🔎"
),
""
)</f>
        <v/>
      </c>
    </row>
    <row r="582" ht="22.5" customHeight="1">
      <c r="A582" s="21">
        <v>581.0</v>
      </c>
      <c r="B582" s="22">
        <v>43251.0</v>
      </c>
      <c r="C582" s="23">
        <v>292.0</v>
      </c>
      <c r="D582" s="24" t="s">
        <v>130</v>
      </c>
      <c r="E582" s="25" t="s">
        <v>11</v>
      </c>
      <c r="F582" s="26"/>
      <c r="G582" s="36" t="s">
        <v>42</v>
      </c>
      <c r="H582" s="28">
        <v>92.0</v>
      </c>
      <c r="I582" s="28">
        <v>13248.681277940374</v>
      </c>
      <c r="J582" s="29">
        <v>1218878.6775705144</v>
      </c>
      <c r="K582" s="29">
        <v>13248.681277940374</v>
      </c>
      <c r="L582" s="30">
        <v>18618.099999999988</v>
      </c>
      <c r="M582" s="29">
        <v>2.466652729008215E8</v>
      </c>
      <c r="N582" s="31" t="s">
        <v>676</v>
      </c>
      <c r="O582" s="32"/>
      <c r="P582" s="33" t="str">
        <f t="array" ref="P582">IFERROR(
HYPERLINK(
"https://drive.google.com/file/d/"&amp;
XLOOKUP(O582,'Hoa-Don'!A:A,'Hoa-Don'!D:D)
&amp;"/view",
"🔎"
),
""
)</f>
        <v/>
      </c>
    </row>
    <row r="583" ht="22.5" customHeight="1">
      <c r="A583" s="21">
        <v>582.0</v>
      </c>
      <c r="B583" s="22">
        <v>43252.0</v>
      </c>
      <c r="C583" s="23">
        <v>293.0</v>
      </c>
      <c r="D583" s="24" t="s">
        <v>48</v>
      </c>
      <c r="E583" s="35" t="s">
        <v>18</v>
      </c>
      <c r="F583" s="26"/>
      <c r="G583" s="36" t="s">
        <v>42</v>
      </c>
      <c r="H583" s="28">
        <v>1100.0</v>
      </c>
      <c r="I583" s="28">
        <v>12275.435724157214</v>
      </c>
      <c r="J583" s="29">
        <v>1.3502979296572935E7</v>
      </c>
      <c r="K583" s="29">
        <v>12275.435724157214</v>
      </c>
      <c r="L583" s="30">
        <v>24178.940000000006</v>
      </c>
      <c r="M583" s="29">
        <v>2.968070238482539E8</v>
      </c>
      <c r="N583" s="31" t="s">
        <v>677</v>
      </c>
      <c r="O583" s="32"/>
      <c r="P583" s="33" t="str">
        <f t="array" ref="P583">IFERROR(
HYPERLINK(
"https://drive.google.com/file/d/"&amp;
XLOOKUP(O583,'Hoa-Don'!A:A,'Hoa-Don'!D:D)
&amp;"/view",
"🔎"
),
""
)</f>
        <v/>
      </c>
    </row>
    <row r="584" ht="22.5" customHeight="1">
      <c r="A584" s="21">
        <v>583.0</v>
      </c>
      <c r="B584" s="22">
        <v>43253.0</v>
      </c>
      <c r="C584" s="23">
        <v>294.0</v>
      </c>
      <c r="D584" s="24" t="s">
        <v>48</v>
      </c>
      <c r="E584" s="35" t="s">
        <v>18</v>
      </c>
      <c r="F584" s="26"/>
      <c r="G584" s="36" t="s">
        <v>42</v>
      </c>
      <c r="H584" s="28">
        <v>1097.04</v>
      </c>
      <c r="I584" s="28">
        <v>12275.435724157214</v>
      </c>
      <c r="J584" s="29">
        <v>1.346664400682943E7</v>
      </c>
      <c r="K584" s="29">
        <v>12275.435724157214</v>
      </c>
      <c r="L584" s="30">
        <v>23081.900000000005</v>
      </c>
      <c r="M584" s="29">
        <v>2.8334037984142447E8</v>
      </c>
      <c r="N584" s="31" t="s">
        <v>678</v>
      </c>
      <c r="O584" s="32"/>
      <c r="P584" s="33" t="str">
        <f t="array" ref="P584">IFERROR(
HYPERLINK(
"https://drive.google.com/file/d/"&amp;
XLOOKUP(O584,'Hoa-Don'!A:A,'Hoa-Don'!D:D)
&amp;"/view",
"🔎"
),
""
)</f>
        <v/>
      </c>
    </row>
    <row r="585" ht="22.5" customHeight="1">
      <c r="A585" s="21">
        <v>584.0</v>
      </c>
      <c r="B585" s="22">
        <v>43258.0</v>
      </c>
      <c r="C585" s="23">
        <v>295.0</v>
      </c>
      <c r="D585" s="24" t="s">
        <v>48</v>
      </c>
      <c r="E585" s="35" t="s">
        <v>18</v>
      </c>
      <c r="F585" s="26"/>
      <c r="G585" s="36" t="s">
        <v>42</v>
      </c>
      <c r="H585" s="28">
        <v>866.92</v>
      </c>
      <c r="I585" s="28">
        <v>12275.435724157214</v>
      </c>
      <c r="J585" s="29">
        <v>1.064182073798637E7</v>
      </c>
      <c r="K585" s="29">
        <v>12275.435724157214</v>
      </c>
      <c r="L585" s="30">
        <v>22214.980000000007</v>
      </c>
      <c r="M585" s="29">
        <v>2.7269855910343814E8</v>
      </c>
      <c r="N585" s="31" t="s">
        <v>679</v>
      </c>
      <c r="O585" s="32"/>
      <c r="P585" s="33" t="str">
        <f t="array" ref="P585">IFERROR(
HYPERLINK(
"https://drive.google.com/file/d/"&amp;
XLOOKUP(O585,'Hoa-Don'!A:A,'Hoa-Don'!D:D)
&amp;"/view",
"🔎"
),
""
)</f>
        <v/>
      </c>
    </row>
    <row r="586" ht="22.5" customHeight="1">
      <c r="A586" s="21">
        <v>585.0</v>
      </c>
      <c r="B586" s="22">
        <v>43258.0</v>
      </c>
      <c r="C586" s="23">
        <v>295.0</v>
      </c>
      <c r="D586" s="24" t="s">
        <v>48</v>
      </c>
      <c r="E586" s="35" t="s">
        <v>18</v>
      </c>
      <c r="F586" s="26"/>
      <c r="G586" s="36" t="s">
        <v>42</v>
      </c>
      <c r="H586" s="28">
        <v>20.41</v>
      </c>
      <c r="I586" s="28">
        <v>12275.435724157214</v>
      </c>
      <c r="J586" s="29">
        <v>250541.64313004873</v>
      </c>
      <c r="K586" s="29">
        <v>12275.435724157214</v>
      </c>
      <c r="L586" s="30">
        <v>22194.570000000007</v>
      </c>
      <c r="M586" s="29">
        <v>2.724480174603081E8</v>
      </c>
      <c r="N586" s="31" t="s">
        <v>680</v>
      </c>
      <c r="O586" s="32"/>
      <c r="P586" s="33" t="str">
        <f t="array" ref="P586">IFERROR(
HYPERLINK(
"https://drive.google.com/file/d/"&amp;
XLOOKUP(O586,'Hoa-Don'!A:A,'Hoa-Don'!D:D)
&amp;"/view",
"🔎"
),
""
)</f>
        <v/>
      </c>
    </row>
    <row r="587" ht="22.5" customHeight="1">
      <c r="A587" s="21">
        <v>586.0</v>
      </c>
      <c r="B587" s="22">
        <v>43258.0</v>
      </c>
      <c r="C587" s="23">
        <v>295.0</v>
      </c>
      <c r="D587" s="24" t="s">
        <v>48</v>
      </c>
      <c r="E587" s="35" t="s">
        <v>18</v>
      </c>
      <c r="F587" s="26"/>
      <c r="G587" s="36" t="s">
        <v>42</v>
      </c>
      <c r="H587" s="28">
        <v>134.0</v>
      </c>
      <c r="I587" s="28">
        <v>12275.435724157214</v>
      </c>
      <c r="J587" s="29">
        <v>1644908.3870370667</v>
      </c>
      <c r="K587" s="29">
        <v>12275.435724157214</v>
      </c>
      <c r="L587" s="30">
        <v>22060.570000000007</v>
      </c>
      <c r="M587" s="29">
        <v>2.70803109073271E8</v>
      </c>
      <c r="N587" s="31" t="s">
        <v>681</v>
      </c>
      <c r="O587" s="32"/>
      <c r="P587" s="33" t="str">
        <f t="array" ref="P587">IFERROR(
HYPERLINK(
"https://drive.google.com/file/d/"&amp;
XLOOKUP(O587,'Hoa-Don'!A:A,'Hoa-Don'!D:D)
&amp;"/view",
"🔎"
),
""
)</f>
        <v/>
      </c>
    </row>
    <row r="588" ht="22.5" customHeight="1">
      <c r="A588" s="21">
        <v>587.0</v>
      </c>
      <c r="B588" s="22">
        <v>43259.0</v>
      </c>
      <c r="C588" s="23">
        <v>296.0</v>
      </c>
      <c r="D588" s="24" t="s">
        <v>93</v>
      </c>
      <c r="E588" s="25" t="s">
        <v>11</v>
      </c>
      <c r="F588" s="26"/>
      <c r="G588" s="36" t="s">
        <v>42</v>
      </c>
      <c r="H588" s="28">
        <v>6101.0</v>
      </c>
      <c r="I588" s="28">
        <v>13248.681277940374</v>
      </c>
      <c r="J588" s="29">
        <v>8.083020447671422E7</v>
      </c>
      <c r="K588" s="29">
        <v>13248.681277940374</v>
      </c>
      <c r="L588" s="30">
        <v>12517.099999999988</v>
      </c>
      <c r="M588" s="29">
        <v>1.6583506842410728E8</v>
      </c>
      <c r="N588" s="31" t="s">
        <v>682</v>
      </c>
      <c r="O588" s="32"/>
      <c r="P588" s="33" t="str">
        <f t="array" ref="P588">IFERROR(
HYPERLINK(
"https://drive.google.com/file/d/"&amp;
XLOOKUP(O588,'Hoa-Don'!A:A,'Hoa-Don'!D:D)
&amp;"/view",
"🔎"
),
""
)</f>
        <v/>
      </c>
    </row>
    <row r="589" ht="22.5" customHeight="1">
      <c r="A589" s="21">
        <v>588.0</v>
      </c>
      <c r="B589" s="22">
        <v>43259.0</v>
      </c>
      <c r="C589" s="23">
        <v>296.0</v>
      </c>
      <c r="D589" s="24" t="s">
        <v>93</v>
      </c>
      <c r="E589" s="35" t="s">
        <v>18</v>
      </c>
      <c r="F589" s="26"/>
      <c r="G589" s="36" t="s">
        <v>42</v>
      </c>
      <c r="H589" s="28">
        <v>2567.0</v>
      </c>
      <c r="I589" s="28">
        <v>12275.435724157214</v>
      </c>
      <c r="J589" s="29">
        <v>3.151104350391157E7</v>
      </c>
      <c r="K589" s="29">
        <v>12275.435724157214</v>
      </c>
      <c r="L589" s="30">
        <v>19493.570000000007</v>
      </c>
      <c r="M589" s="29">
        <v>2.3929206556935942E8</v>
      </c>
      <c r="N589" s="31" t="s">
        <v>683</v>
      </c>
      <c r="O589" s="32"/>
      <c r="P589" s="33" t="str">
        <f t="array" ref="P589">IFERROR(
HYPERLINK(
"https://drive.google.com/file/d/"&amp;
XLOOKUP(O589,'Hoa-Don'!A:A,'Hoa-Don'!D:D)
&amp;"/view",
"🔎"
),
""
)</f>
        <v/>
      </c>
    </row>
    <row r="590" ht="22.5" customHeight="1">
      <c r="A590" s="21">
        <v>589.0</v>
      </c>
      <c r="B590" s="22">
        <v>43277.0</v>
      </c>
      <c r="C590" s="23">
        <v>808.0</v>
      </c>
      <c r="D590" s="24" t="s">
        <v>393</v>
      </c>
      <c r="E590" s="25" t="s">
        <v>11</v>
      </c>
      <c r="F590" s="26"/>
      <c r="G590" s="27" t="s">
        <v>38</v>
      </c>
      <c r="H590" s="28">
        <v>922.0</v>
      </c>
      <c r="I590" s="28">
        <v>14107.97</v>
      </c>
      <c r="J590" s="29">
        <v>1.300754834E7</v>
      </c>
      <c r="K590" s="29">
        <v>13307.633454926852</v>
      </c>
      <c r="L590" s="30">
        <v>13439.099999999988</v>
      </c>
      <c r="M590" s="29">
        <v>1.788426167641073E8</v>
      </c>
      <c r="N590" s="31" t="s">
        <v>684</v>
      </c>
      <c r="O590" s="32"/>
      <c r="P590" s="33" t="str">
        <f t="array" ref="P590">IFERROR(
HYPERLINK(
"https://drive.google.com/file/d/"&amp;
XLOOKUP(O590,'Hoa-Don'!A:A,'Hoa-Don'!D:D)
&amp;"/view",
"🔎"
),
""
)</f>
        <v/>
      </c>
    </row>
    <row r="591" ht="22.5" customHeight="1">
      <c r="A591" s="21">
        <v>590.0</v>
      </c>
      <c r="B591" s="22">
        <v>43278.0</v>
      </c>
      <c r="C591" s="23">
        <v>946.0</v>
      </c>
      <c r="D591" s="24" t="s">
        <v>253</v>
      </c>
      <c r="E591" s="25" t="s">
        <v>11</v>
      </c>
      <c r="F591" s="26"/>
      <c r="G591" s="27" t="s">
        <v>38</v>
      </c>
      <c r="H591" s="28">
        <v>714.0</v>
      </c>
      <c r="I591" s="28">
        <v>15454.55</v>
      </c>
      <c r="J591" s="29">
        <v>1.10345487E7</v>
      </c>
      <c r="K591" s="29">
        <v>13415.941769937854</v>
      </c>
      <c r="L591" s="30">
        <v>14153.099999999988</v>
      </c>
      <c r="M591" s="29">
        <v>1.8987716546410728E8</v>
      </c>
      <c r="N591" s="31" t="s">
        <v>685</v>
      </c>
      <c r="O591" s="32"/>
      <c r="P591" s="33" t="str">
        <f t="array" ref="P591">IFERROR(
HYPERLINK(
"https://drive.google.com/file/d/"&amp;
XLOOKUP(O591,'Hoa-Don'!A:A,'Hoa-Don'!D:D)
&amp;"/view",
"🔎"
),
""
)</f>
        <v/>
      </c>
    </row>
    <row r="592" ht="22.5" customHeight="1">
      <c r="A592" s="21">
        <v>591.0</v>
      </c>
      <c r="B592" s="22">
        <v>43278.0</v>
      </c>
      <c r="C592" s="23">
        <v>946.0</v>
      </c>
      <c r="D592" s="24" t="s">
        <v>253</v>
      </c>
      <c r="E592" s="25" t="s">
        <v>11</v>
      </c>
      <c r="F592" s="26"/>
      <c r="G592" s="27" t="s">
        <v>38</v>
      </c>
      <c r="H592" s="28">
        <v>2722.0</v>
      </c>
      <c r="I592" s="28">
        <v>14000.0</v>
      </c>
      <c r="J592" s="29">
        <v>3.8108E7</v>
      </c>
      <c r="K592" s="29">
        <v>13510.151967342857</v>
      </c>
      <c r="L592" s="30">
        <v>16875.099999999988</v>
      </c>
      <c r="M592" s="29">
        <v>2.2798516546410728E8</v>
      </c>
      <c r="N592" s="31" t="s">
        <v>686</v>
      </c>
      <c r="O592" s="32"/>
      <c r="P592" s="33" t="str">
        <f t="array" ref="P592">IFERROR(
HYPERLINK(
"https://drive.google.com/file/d/"&amp;
XLOOKUP(O592,'Hoa-Don'!A:A,'Hoa-Don'!D:D)
&amp;"/view",
"🔎"
),
""
)</f>
        <v/>
      </c>
    </row>
    <row r="593" ht="22.5" customHeight="1">
      <c r="A593" s="21">
        <v>592.0</v>
      </c>
      <c r="B593" s="22">
        <v>43278.0</v>
      </c>
      <c r="C593" s="23">
        <v>946.0</v>
      </c>
      <c r="D593" s="24" t="s">
        <v>253</v>
      </c>
      <c r="E593" s="35" t="s">
        <v>18</v>
      </c>
      <c r="F593" s="26"/>
      <c r="G593" s="27" t="s">
        <v>38</v>
      </c>
      <c r="H593" s="28">
        <v>1290.0</v>
      </c>
      <c r="I593" s="28">
        <v>13454.55</v>
      </c>
      <c r="J593" s="29">
        <v>1.73563695E7</v>
      </c>
      <c r="K593" s="29">
        <v>12348.62129409718</v>
      </c>
      <c r="L593" s="30">
        <v>20783.570000000007</v>
      </c>
      <c r="M593" s="29">
        <v>2.5664843506935942E8</v>
      </c>
      <c r="N593" s="31" t="s">
        <v>687</v>
      </c>
      <c r="O593" s="32"/>
      <c r="P593" s="33" t="str">
        <f t="array" ref="P593">IFERROR(
HYPERLINK(
"https://drive.google.com/file/d/"&amp;
XLOOKUP(O593,'Hoa-Don'!A:A,'Hoa-Don'!D:D)
&amp;"/view",
"🔎"
),
""
)</f>
        <v/>
      </c>
    </row>
    <row r="594" ht="22.5" customHeight="1">
      <c r="A594" s="21">
        <v>593.0</v>
      </c>
      <c r="B594" s="22">
        <v>43283.0</v>
      </c>
      <c r="C594" s="23">
        <v>39.0</v>
      </c>
      <c r="D594" s="24" t="s">
        <v>688</v>
      </c>
      <c r="E594" s="25" t="s">
        <v>11</v>
      </c>
      <c r="F594" s="26"/>
      <c r="G594" s="27" t="s">
        <v>38</v>
      </c>
      <c r="H594" s="28">
        <v>5331.0</v>
      </c>
      <c r="I594" s="28">
        <v>13636.0</v>
      </c>
      <c r="J594" s="29">
        <v>7.2693516E7</v>
      </c>
      <c r="K594" s="29">
        <v>13540.364200112017</v>
      </c>
      <c r="L594" s="30">
        <v>22206.099999999988</v>
      </c>
      <c r="M594" s="29">
        <v>3.006786814641073E8</v>
      </c>
      <c r="N594" s="31" t="s">
        <v>689</v>
      </c>
      <c r="O594" s="32"/>
      <c r="P594" s="33" t="str">
        <f t="array" ref="P594">IFERROR(
HYPERLINK(
"https://drive.google.com/file/d/"&amp;
XLOOKUP(O594,'Hoa-Don'!A:A,'Hoa-Don'!D:D)
&amp;"/view",
"🔎"
),
""
)</f>
        <v/>
      </c>
    </row>
    <row r="595" ht="22.5" customHeight="1">
      <c r="A595" s="21">
        <v>594.0</v>
      </c>
      <c r="B595" s="22">
        <v>43283.0</v>
      </c>
      <c r="C595" s="23">
        <v>297.0</v>
      </c>
      <c r="D595" s="24" t="s">
        <v>63</v>
      </c>
      <c r="E595" s="35" t="s">
        <v>18</v>
      </c>
      <c r="F595" s="26"/>
      <c r="G595" s="36" t="s">
        <v>42</v>
      </c>
      <c r="H595" s="28">
        <v>603.5</v>
      </c>
      <c r="I595" s="28">
        <v>12348.62129409718</v>
      </c>
      <c r="J595" s="29">
        <v>7452392.950987648</v>
      </c>
      <c r="K595" s="29">
        <v>12348.62129409718</v>
      </c>
      <c r="L595" s="30">
        <v>20180.070000000007</v>
      </c>
      <c r="M595" s="29">
        <v>2.4919604211837175E8</v>
      </c>
      <c r="N595" s="31" t="s">
        <v>690</v>
      </c>
      <c r="O595" s="32"/>
      <c r="P595" s="33" t="str">
        <f t="array" ref="P595">IFERROR(
HYPERLINK(
"https://drive.google.com/file/d/"&amp;
XLOOKUP(O595,'Hoa-Don'!A:A,'Hoa-Don'!D:D)
&amp;"/view",
"🔎"
),
""
)</f>
        <v/>
      </c>
    </row>
    <row r="596" ht="22.5" customHeight="1">
      <c r="A596" s="21">
        <v>595.0</v>
      </c>
      <c r="B596" s="22">
        <v>43284.0</v>
      </c>
      <c r="C596" s="23">
        <v>990.0</v>
      </c>
      <c r="D596" s="24" t="s">
        <v>253</v>
      </c>
      <c r="E596" s="35" t="s">
        <v>18</v>
      </c>
      <c r="F596" s="26"/>
      <c r="G596" s="27" t="s">
        <v>38</v>
      </c>
      <c r="H596" s="28">
        <v>6004.0</v>
      </c>
      <c r="I596" s="28">
        <v>13090.91</v>
      </c>
      <c r="J596" s="29">
        <v>7.859782364E7</v>
      </c>
      <c r="K596" s="29">
        <v>12518.827888803065</v>
      </c>
      <c r="L596" s="30">
        <v>26184.070000000007</v>
      </c>
      <c r="M596" s="29">
        <v>3.277938657583718E8</v>
      </c>
      <c r="N596" s="31" t="s">
        <v>691</v>
      </c>
      <c r="O596" s="32"/>
      <c r="P596" s="33" t="str">
        <f t="array" ref="P596">IFERROR(
HYPERLINK(
"https://drive.google.com/file/d/"&amp;
XLOOKUP(O596,'Hoa-Don'!A:A,'Hoa-Don'!D:D)
&amp;"/view",
"🔎"
),
""
)</f>
        <v/>
      </c>
    </row>
    <row r="597" ht="22.5" customHeight="1">
      <c r="A597" s="21">
        <v>596.0</v>
      </c>
      <c r="B597" s="22">
        <v>43285.0</v>
      </c>
      <c r="C597" s="23">
        <v>121.0</v>
      </c>
      <c r="D597" s="24" t="s">
        <v>402</v>
      </c>
      <c r="E597" s="35" t="s">
        <v>18</v>
      </c>
      <c r="F597" s="26"/>
      <c r="G597" s="27" t="s">
        <v>38</v>
      </c>
      <c r="H597" s="28">
        <v>1890.0</v>
      </c>
      <c r="I597" s="28">
        <v>13090.9</v>
      </c>
      <c r="J597" s="29">
        <v>2.4741801E7</v>
      </c>
      <c r="K597" s="29">
        <v>12557.340875703867</v>
      </c>
      <c r="L597" s="30">
        <v>28074.070000000007</v>
      </c>
      <c r="M597" s="29">
        <v>3.525356667583718E8</v>
      </c>
      <c r="N597" s="31" t="s">
        <v>692</v>
      </c>
      <c r="O597" s="32"/>
      <c r="P597" s="33" t="str">
        <f t="array" ref="P597">IFERROR(
HYPERLINK(
"https://drive.google.com/file/d/"&amp;
XLOOKUP(O597,'Hoa-Don'!A:A,'Hoa-Don'!D:D)
&amp;"/view",
"🔎"
),
""
)</f>
        <v/>
      </c>
    </row>
    <row r="598" ht="22.5" customHeight="1">
      <c r="A598" s="21">
        <v>597.0</v>
      </c>
      <c r="B598" s="22">
        <v>43293.0</v>
      </c>
      <c r="C598" s="23">
        <v>845.0</v>
      </c>
      <c r="D598" s="24" t="s">
        <v>393</v>
      </c>
      <c r="E598" s="25" t="s">
        <v>11</v>
      </c>
      <c r="F598" s="26"/>
      <c r="G598" s="27" t="s">
        <v>38</v>
      </c>
      <c r="H598" s="28">
        <v>1290.0</v>
      </c>
      <c r="I598" s="28">
        <v>13961.6</v>
      </c>
      <c r="J598" s="29">
        <v>1.8010464E7</v>
      </c>
      <c r="K598" s="29">
        <v>13563.491194883723</v>
      </c>
      <c r="L598" s="30">
        <v>23496.099999999988</v>
      </c>
      <c r="M598" s="29">
        <v>3.186891454641073E8</v>
      </c>
      <c r="N598" s="31" t="s">
        <v>693</v>
      </c>
      <c r="O598" s="32"/>
      <c r="P598" s="33" t="str">
        <f t="array" ref="P598">IFERROR(
HYPERLINK(
"https://drive.google.com/file/d/"&amp;
XLOOKUP(O598,'Hoa-Don'!A:A,'Hoa-Don'!D:D)
&amp;"/view",
"🔎"
),
""
)</f>
        <v/>
      </c>
    </row>
    <row r="599" ht="22.5" customHeight="1">
      <c r="A599" s="21">
        <v>598.0</v>
      </c>
      <c r="B599" s="22">
        <v>43294.0</v>
      </c>
      <c r="C599" s="23">
        <v>848.0</v>
      </c>
      <c r="D599" s="24" t="s">
        <v>393</v>
      </c>
      <c r="E599" s="25" t="s">
        <v>11</v>
      </c>
      <c r="F599" s="26"/>
      <c r="G599" s="27" t="s">
        <v>38</v>
      </c>
      <c r="H599" s="28">
        <v>1287.0</v>
      </c>
      <c r="I599" s="28">
        <v>13961.6</v>
      </c>
      <c r="J599" s="29">
        <v>1.79685792E7</v>
      </c>
      <c r="K599" s="29">
        <v>13584.1652038731</v>
      </c>
      <c r="L599" s="30">
        <v>24783.099999999988</v>
      </c>
      <c r="M599" s="29">
        <v>3.3665772466410726E8</v>
      </c>
      <c r="N599" s="31" t="s">
        <v>694</v>
      </c>
      <c r="O599" s="32"/>
      <c r="P599" s="33" t="str">
        <f t="array" ref="P599">IFERROR(
HYPERLINK(
"https://drive.google.com/file/d/"&amp;
XLOOKUP(O599,'Hoa-Don'!A:A,'Hoa-Don'!D:D)
&amp;"/view",
"🔎"
),
""
)</f>
        <v/>
      </c>
    </row>
    <row r="600" ht="22.5" customHeight="1">
      <c r="A600" s="21">
        <v>599.0</v>
      </c>
      <c r="B600" s="22">
        <v>43295.0</v>
      </c>
      <c r="C600" s="23">
        <v>851.0</v>
      </c>
      <c r="D600" s="24" t="s">
        <v>393</v>
      </c>
      <c r="E600" s="25" t="s">
        <v>11</v>
      </c>
      <c r="F600" s="26"/>
      <c r="G600" s="27" t="s">
        <v>38</v>
      </c>
      <c r="H600" s="28">
        <v>1250.0</v>
      </c>
      <c r="I600" s="28">
        <v>13961.6</v>
      </c>
      <c r="J600" s="29">
        <v>1.7452E7</v>
      </c>
      <c r="K600" s="29">
        <v>13602.288035773974</v>
      </c>
      <c r="L600" s="30">
        <v>26033.099999999988</v>
      </c>
      <c r="M600" s="29">
        <v>3.5410972466410726E8</v>
      </c>
      <c r="N600" s="31" t="s">
        <v>695</v>
      </c>
      <c r="O600" s="32"/>
      <c r="P600" s="33" t="str">
        <f t="array" ref="P600">IFERROR(
HYPERLINK(
"https://drive.google.com/file/d/"&amp;
XLOOKUP(O600,'Hoa-Don'!A:A,'Hoa-Don'!D:D)
&amp;"/view",
"🔎"
),
""
)</f>
        <v/>
      </c>
    </row>
    <row r="601" ht="22.5" customHeight="1">
      <c r="A601" s="21">
        <v>600.0</v>
      </c>
      <c r="B601" s="22">
        <v>43296.0</v>
      </c>
      <c r="C601" s="23">
        <v>855.0</v>
      </c>
      <c r="D601" s="24" t="s">
        <v>393</v>
      </c>
      <c r="E601" s="25" t="s">
        <v>11</v>
      </c>
      <c r="F601" s="26"/>
      <c r="G601" s="27" t="s">
        <v>38</v>
      </c>
      <c r="H601" s="28">
        <v>785.0</v>
      </c>
      <c r="I601" s="28">
        <v>13961.6</v>
      </c>
      <c r="J601" s="29">
        <v>1.0959856E7</v>
      </c>
      <c r="K601" s="29">
        <v>13612.805555356548</v>
      </c>
      <c r="L601" s="30">
        <v>26818.099999999988</v>
      </c>
      <c r="M601" s="29">
        <v>3.6506958066410726E8</v>
      </c>
      <c r="N601" s="31" t="s">
        <v>696</v>
      </c>
      <c r="O601" s="32"/>
      <c r="P601" s="33" t="str">
        <f t="array" ref="P601">IFERROR(
HYPERLINK(
"https://drive.google.com/file/d/"&amp;
XLOOKUP(O601,'Hoa-Don'!A:A,'Hoa-Don'!D:D)
&amp;"/view",
"🔎"
),
""
)</f>
        <v/>
      </c>
    </row>
    <row r="602" ht="22.5" customHeight="1">
      <c r="A602" s="21">
        <v>601.0</v>
      </c>
      <c r="B602" s="22">
        <v>43312.0</v>
      </c>
      <c r="C602" s="23">
        <v>298.0</v>
      </c>
      <c r="D602" s="24" t="s">
        <v>130</v>
      </c>
      <c r="E602" s="25" t="s">
        <v>11</v>
      </c>
      <c r="F602" s="26"/>
      <c r="G602" s="36" t="s">
        <v>42</v>
      </c>
      <c r="H602" s="28">
        <v>60.0</v>
      </c>
      <c r="I602" s="28">
        <v>13612.805555356548</v>
      </c>
      <c r="J602" s="29">
        <v>816768.3333213929</v>
      </c>
      <c r="K602" s="29">
        <v>13612.805555356548</v>
      </c>
      <c r="L602" s="30">
        <v>26758.099999999988</v>
      </c>
      <c r="M602" s="29">
        <v>3.642528123307859E8</v>
      </c>
      <c r="N602" s="31" t="s">
        <v>697</v>
      </c>
      <c r="O602" s="32"/>
      <c r="P602" s="33" t="str">
        <f t="array" ref="P602">IFERROR(
HYPERLINK(
"https://drive.google.com/file/d/"&amp;
XLOOKUP(O602,'Hoa-Don'!A:A,'Hoa-Don'!D:D)
&amp;"/view",
"🔎"
),
""
)</f>
        <v/>
      </c>
    </row>
    <row r="603" ht="22.5" customHeight="1">
      <c r="A603" s="21">
        <v>602.0</v>
      </c>
      <c r="B603" s="22">
        <v>43326.0</v>
      </c>
      <c r="C603" s="23">
        <v>300.0</v>
      </c>
      <c r="D603" s="24" t="s">
        <v>155</v>
      </c>
      <c r="E603" s="35" t="s">
        <v>18</v>
      </c>
      <c r="F603" s="26"/>
      <c r="G603" s="27" t="s">
        <v>38</v>
      </c>
      <c r="H603" s="28">
        <v>13794.0</v>
      </c>
      <c r="I603" s="28">
        <v>13278.52</v>
      </c>
      <c r="J603" s="29">
        <v>1.8316390488E8</v>
      </c>
      <c r="K603" s="29">
        <v>12794.943058955707</v>
      </c>
      <c r="L603" s="30">
        <v>41868.07000000001</v>
      </c>
      <c r="M603" s="29">
        <v>5.3569957163837177E8</v>
      </c>
      <c r="N603" s="31" t="s">
        <v>698</v>
      </c>
      <c r="O603" s="32"/>
      <c r="P603" s="33" t="str">
        <f t="array" ref="P603">IFERROR(
HYPERLINK(
"https://drive.google.com/file/d/"&amp;
XLOOKUP(O603,'Hoa-Don'!A:A,'Hoa-Don'!D:D)
&amp;"/view",
"🔎"
),
""
)</f>
        <v/>
      </c>
    </row>
    <row r="604" ht="22.5" customHeight="1">
      <c r="A604" s="21">
        <v>603.0</v>
      </c>
      <c r="B604" s="22">
        <v>43327.0</v>
      </c>
      <c r="C604" s="23">
        <v>299.0</v>
      </c>
      <c r="D604" s="24" t="s">
        <v>93</v>
      </c>
      <c r="E604" s="25" t="s">
        <v>11</v>
      </c>
      <c r="F604" s="26"/>
      <c r="G604" s="36" t="s">
        <v>42</v>
      </c>
      <c r="H604" s="28">
        <v>6000.0</v>
      </c>
      <c r="I604" s="28">
        <v>13612.805555356548</v>
      </c>
      <c r="J604" s="29">
        <v>8.167683333213928E7</v>
      </c>
      <c r="K604" s="29">
        <v>13612.805555356548</v>
      </c>
      <c r="L604" s="30">
        <v>20758.099999999988</v>
      </c>
      <c r="M604" s="29">
        <v>2.825759789986466E8</v>
      </c>
      <c r="N604" s="31" t="s">
        <v>699</v>
      </c>
      <c r="O604" s="32"/>
      <c r="P604" s="33" t="str">
        <f t="array" ref="P604">IFERROR(
HYPERLINK(
"https://drive.google.com/file/d/"&amp;
XLOOKUP(O604,'Hoa-Don'!A:A,'Hoa-Don'!D:D)
&amp;"/view",
"🔎"
),
""
)</f>
        <v/>
      </c>
    </row>
    <row r="605" ht="22.5" customHeight="1">
      <c r="A605" s="21">
        <v>604.0</v>
      </c>
      <c r="B605" s="22">
        <v>43327.0</v>
      </c>
      <c r="C605" s="23">
        <v>299.0</v>
      </c>
      <c r="D605" s="24" t="s">
        <v>93</v>
      </c>
      <c r="E605" s="35" t="s">
        <v>18</v>
      </c>
      <c r="F605" s="26"/>
      <c r="G605" s="36" t="s">
        <v>42</v>
      </c>
      <c r="H605" s="28">
        <v>2566.0</v>
      </c>
      <c r="I605" s="28">
        <v>12794.943058955707</v>
      </c>
      <c r="J605" s="29">
        <v>3.2831823889280345E7</v>
      </c>
      <c r="K605" s="29">
        <v>12794.943058955707</v>
      </c>
      <c r="L605" s="30">
        <v>39302.07000000001</v>
      </c>
      <c r="M605" s="29">
        <v>5.028677477490914E8</v>
      </c>
      <c r="N605" s="31" t="s">
        <v>700</v>
      </c>
      <c r="O605" s="32"/>
      <c r="P605" s="33" t="str">
        <f t="array" ref="P605">IFERROR(
HYPERLINK(
"https://drive.google.com/file/d/"&amp;
XLOOKUP(O605,'Hoa-Don'!A:A,'Hoa-Don'!D:D)
&amp;"/view",
"🔎"
),
""
)</f>
        <v/>
      </c>
    </row>
    <row r="606" ht="22.5" customHeight="1">
      <c r="A606" s="21">
        <v>605.0</v>
      </c>
      <c r="B606" s="22">
        <v>43332.0</v>
      </c>
      <c r="C606" s="23">
        <v>300.0</v>
      </c>
      <c r="D606" s="24" t="s">
        <v>115</v>
      </c>
      <c r="E606" s="35" t="s">
        <v>18</v>
      </c>
      <c r="F606" s="26"/>
      <c r="G606" s="36" t="s">
        <v>42</v>
      </c>
      <c r="H606" s="28">
        <v>986.0</v>
      </c>
      <c r="I606" s="28">
        <v>12794.943058955707</v>
      </c>
      <c r="J606" s="29">
        <v>1.2615813856130326E7</v>
      </c>
      <c r="K606" s="29">
        <v>12794.943058955707</v>
      </c>
      <c r="L606" s="30">
        <v>38316.07000000001</v>
      </c>
      <c r="M606" s="29">
        <v>4.902519338929611E8</v>
      </c>
      <c r="N606" s="31" t="s">
        <v>701</v>
      </c>
      <c r="O606" s="32"/>
      <c r="P606" s="33" t="str">
        <f t="array" ref="P606">IFERROR(
HYPERLINK(
"https://drive.google.com/file/d/"&amp;
XLOOKUP(O606,'Hoa-Don'!A:A,'Hoa-Don'!D:D)
&amp;"/view",
"🔎"
),
""
)</f>
        <v/>
      </c>
    </row>
    <row r="607" ht="22.5" customHeight="1">
      <c r="A607" s="21">
        <v>606.0</v>
      </c>
      <c r="B607" s="22">
        <v>43334.0</v>
      </c>
      <c r="C607" s="23">
        <v>161.0</v>
      </c>
      <c r="D607" s="24" t="s">
        <v>402</v>
      </c>
      <c r="E607" s="35" t="s">
        <v>18</v>
      </c>
      <c r="F607" s="26"/>
      <c r="G607" s="27" t="s">
        <v>38</v>
      </c>
      <c r="H607" s="28">
        <v>657.0</v>
      </c>
      <c r="I607" s="28">
        <v>13454.55</v>
      </c>
      <c r="J607" s="29">
        <v>8839639.35</v>
      </c>
      <c r="K607" s="29">
        <v>12806.06257713239</v>
      </c>
      <c r="L607" s="30">
        <v>38973.07000000001</v>
      </c>
      <c r="M607" s="29">
        <v>4.990915732429611E8</v>
      </c>
      <c r="N607" s="31" t="s">
        <v>702</v>
      </c>
      <c r="O607" s="32"/>
      <c r="P607" s="33" t="str">
        <f t="array" ref="P607">IFERROR(
HYPERLINK(
"https://drive.google.com/file/d/"&amp;
XLOOKUP(O607,'Hoa-Don'!A:A,'Hoa-Don'!D:D)
&amp;"/view",
"🔎"
),
""
)</f>
        <v/>
      </c>
    </row>
    <row r="608" ht="22.5" customHeight="1">
      <c r="A608" s="21">
        <v>607.0</v>
      </c>
      <c r="B608" s="22">
        <v>43346.0</v>
      </c>
      <c r="C608" s="23">
        <v>327.0</v>
      </c>
      <c r="D608" s="24" t="s">
        <v>155</v>
      </c>
      <c r="E608" s="35" t="s">
        <v>18</v>
      </c>
      <c r="F608" s="26"/>
      <c r="G608" s="27" t="s">
        <v>38</v>
      </c>
      <c r="H608" s="28">
        <v>3656.0</v>
      </c>
      <c r="I608" s="28">
        <v>13090.91</v>
      </c>
      <c r="J608" s="29">
        <v>4.786036696E7</v>
      </c>
      <c r="K608" s="29">
        <v>12830.491967170783</v>
      </c>
      <c r="L608" s="30">
        <v>42629.07000000001</v>
      </c>
      <c r="M608" s="29">
        <v>5.469519402029611E8</v>
      </c>
      <c r="N608" s="31" t="s">
        <v>703</v>
      </c>
      <c r="O608" s="32"/>
      <c r="P608" s="33" t="str">
        <f t="array" ref="P608">IFERROR(
HYPERLINK(
"https://drive.google.com/file/d/"&amp;
XLOOKUP(O608,'Hoa-Don'!A:A,'Hoa-Don'!D:D)
&amp;"/view",
"🔎"
),
""
)</f>
        <v/>
      </c>
    </row>
    <row r="609" ht="22.5" customHeight="1">
      <c r="A609" s="21">
        <v>608.0</v>
      </c>
      <c r="B609" s="22">
        <v>43353.0</v>
      </c>
      <c r="C609" s="23">
        <v>301.0</v>
      </c>
      <c r="D609" s="24" t="s">
        <v>460</v>
      </c>
      <c r="E609" s="35" t="s">
        <v>18</v>
      </c>
      <c r="F609" s="26"/>
      <c r="G609" s="36" t="s">
        <v>42</v>
      </c>
      <c r="H609" s="28">
        <v>4643.0</v>
      </c>
      <c r="I609" s="28">
        <v>12830.491967170783</v>
      </c>
      <c r="J609" s="29">
        <v>5.957197420357394E7</v>
      </c>
      <c r="K609" s="29">
        <v>12830.491967170783</v>
      </c>
      <c r="L609" s="30">
        <v>37986.07000000001</v>
      </c>
      <c r="M609" s="29">
        <v>4.8737996599938715E8</v>
      </c>
      <c r="N609" s="31" t="s">
        <v>704</v>
      </c>
      <c r="O609" s="32"/>
      <c r="P609" s="33" t="str">
        <f t="array" ref="P609">IFERROR(
HYPERLINK(
"https://drive.google.com/file/d/"&amp;
XLOOKUP(O609,'Hoa-Don'!A:A,'Hoa-Don'!D:D)
&amp;"/view",
"🔎"
),
""
)</f>
        <v/>
      </c>
    </row>
    <row r="610" ht="22.5" customHeight="1">
      <c r="A610" s="21">
        <v>609.0</v>
      </c>
      <c r="B610" s="22">
        <v>43355.0</v>
      </c>
      <c r="C610" s="23">
        <v>1412.0</v>
      </c>
      <c r="D610" s="24" t="s">
        <v>253</v>
      </c>
      <c r="E610" s="25" t="s">
        <v>11</v>
      </c>
      <c r="F610" s="26"/>
      <c r="G610" s="27" t="s">
        <v>38</v>
      </c>
      <c r="H610" s="28">
        <v>3154.0</v>
      </c>
      <c r="I610" s="28">
        <v>14000.0</v>
      </c>
      <c r="J610" s="29">
        <v>4.4156E7</v>
      </c>
      <c r="K610" s="29">
        <v>13663.876405612506</v>
      </c>
      <c r="L610" s="30">
        <v>23912.099999999988</v>
      </c>
      <c r="M610" s="29">
        <v>3.267319789986466E8</v>
      </c>
      <c r="N610" s="31" t="s">
        <v>705</v>
      </c>
      <c r="O610" s="32"/>
      <c r="P610" s="33" t="str">
        <f t="array" ref="P610">IFERROR(
HYPERLINK(
"https://drive.google.com/file/d/"&amp;
XLOOKUP(O610,'Hoa-Don'!A:A,'Hoa-Don'!D:D)
&amp;"/view",
"🔎"
),
""
)</f>
        <v/>
      </c>
    </row>
    <row r="611" ht="22.5" customHeight="1">
      <c r="A611" s="21">
        <v>610.0</v>
      </c>
      <c r="B611" s="22">
        <v>43355.0</v>
      </c>
      <c r="C611" s="23">
        <v>1412.0</v>
      </c>
      <c r="D611" s="24" t="s">
        <v>253</v>
      </c>
      <c r="E611" s="25" t="s">
        <v>11</v>
      </c>
      <c r="F611" s="26"/>
      <c r="G611" s="27" t="s">
        <v>38</v>
      </c>
      <c r="H611" s="28">
        <v>970.0</v>
      </c>
      <c r="I611" s="28">
        <v>14000.0</v>
      </c>
      <c r="J611" s="29">
        <v>1.358E7</v>
      </c>
      <c r="K611" s="29">
        <v>13676.979796666952</v>
      </c>
      <c r="L611" s="30">
        <v>24882.099999999988</v>
      </c>
      <c r="M611" s="29">
        <v>3.403119789986466E8</v>
      </c>
      <c r="N611" s="31" t="s">
        <v>706</v>
      </c>
      <c r="O611" s="32"/>
      <c r="P611" s="33" t="str">
        <f t="array" ref="P611">IFERROR(
HYPERLINK(
"https://drive.google.com/file/d/"&amp;
XLOOKUP(O611,'Hoa-Don'!A:A,'Hoa-Don'!D:D)
&amp;"/view",
"🔎"
),
""
)</f>
        <v/>
      </c>
    </row>
    <row r="612" ht="22.5" customHeight="1">
      <c r="A612" s="21">
        <v>611.0</v>
      </c>
      <c r="B612" s="22">
        <v>43356.0</v>
      </c>
      <c r="C612" s="23">
        <v>302.0</v>
      </c>
      <c r="D612" s="24" t="s">
        <v>115</v>
      </c>
      <c r="E612" s="35" t="s">
        <v>18</v>
      </c>
      <c r="F612" s="26"/>
      <c r="G612" s="36" t="s">
        <v>42</v>
      </c>
      <c r="H612" s="28">
        <v>262.0</v>
      </c>
      <c r="I612" s="28">
        <v>12830.491967170783</v>
      </c>
      <c r="J612" s="29">
        <v>3361588.8953987453</v>
      </c>
      <c r="K612" s="29">
        <v>12830.491967170783</v>
      </c>
      <c r="L612" s="30">
        <v>37724.07000000001</v>
      </c>
      <c r="M612" s="29">
        <v>4.840183771039884E8</v>
      </c>
      <c r="N612" s="31" t="s">
        <v>707</v>
      </c>
      <c r="O612" s="32"/>
      <c r="P612" s="33" t="str">
        <f t="array" ref="P612">IFERROR(
HYPERLINK(
"https://drive.google.com/file/d/"&amp;
XLOOKUP(O612,'Hoa-Don'!A:A,'Hoa-Don'!D:D)
&amp;"/view",
"🔎"
),
""
)</f>
        <v/>
      </c>
    </row>
    <row r="613" ht="22.5" customHeight="1">
      <c r="A613" s="21">
        <v>612.0</v>
      </c>
      <c r="B613" s="22">
        <v>43356.0</v>
      </c>
      <c r="C613" s="23">
        <v>303.0</v>
      </c>
      <c r="D613" s="24" t="s">
        <v>63</v>
      </c>
      <c r="E613" s="35" t="s">
        <v>18</v>
      </c>
      <c r="F613" s="26"/>
      <c r="G613" s="36" t="s">
        <v>42</v>
      </c>
      <c r="H613" s="28">
        <v>91.0</v>
      </c>
      <c r="I613" s="28">
        <v>12830.491967170783</v>
      </c>
      <c r="J613" s="29">
        <v>1167574.7690125413</v>
      </c>
      <c r="K613" s="29">
        <v>12830.491967170783</v>
      </c>
      <c r="L613" s="30">
        <v>37633.07000000001</v>
      </c>
      <c r="M613" s="29">
        <v>4.828508023349759E8</v>
      </c>
      <c r="N613" s="31" t="s">
        <v>708</v>
      </c>
      <c r="O613" s="32"/>
      <c r="P613" s="33" t="str">
        <f t="array" ref="P613">IFERROR(
HYPERLINK(
"https://drive.google.com/file/d/"&amp;
XLOOKUP(O613,'Hoa-Don'!A:A,'Hoa-Don'!D:D)
&amp;"/view",
"🔎"
),
""
)</f>
        <v/>
      </c>
    </row>
    <row r="614" ht="22.5" customHeight="1">
      <c r="A614" s="21">
        <v>613.0</v>
      </c>
      <c r="B614" s="22">
        <v>43356.0</v>
      </c>
      <c r="C614" s="23">
        <v>303.0</v>
      </c>
      <c r="D614" s="24" t="s">
        <v>63</v>
      </c>
      <c r="E614" s="37" t="s">
        <v>16</v>
      </c>
      <c r="F614" s="26"/>
      <c r="G614" s="36" t="s">
        <v>42</v>
      </c>
      <c r="H614" s="28">
        <v>146.0</v>
      </c>
      <c r="I614" s="28">
        <v>14513.660821349476</v>
      </c>
      <c r="J614" s="29">
        <v>2118994.4799170233</v>
      </c>
      <c r="K614" s="29">
        <v>14513.660821349476</v>
      </c>
      <c r="L614" s="30">
        <v>1552.0</v>
      </c>
      <c r="M614" s="29">
        <v>2.2525201594734386E7</v>
      </c>
      <c r="N614" s="31" t="s">
        <v>709</v>
      </c>
      <c r="O614" s="32"/>
      <c r="P614" s="33" t="str">
        <f t="array" ref="P614">IFERROR(
HYPERLINK(
"https://drive.google.com/file/d/"&amp;
XLOOKUP(O614,'Hoa-Don'!A:A,'Hoa-Don'!D:D)
&amp;"/view",
"🔎"
),
""
)</f>
        <v/>
      </c>
    </row>
    <row r="615" ht="22.5" customHeight="1">
      <c r="A615" s="21">
        <v>614.0</v>
      </c>
      <c r="B615" s="22">
        <v>43357.0</v>
      </c>
      <c r="C615" s="23">
        <v>13.0</v>
      </c>
      <c r="D615" s="24" t="s">
        <v>393</v>
      </c>
      <c r="E615" s="25" t="s">
        <v>11</v>
      </c>
      <c r="F615" s="26"/>
      <c r="G615" s="27" t="s">
        <v>38</v>
      </c>
      <c r="H615" s="28">
        <v>5662.0</v>
      </c>
      <c r="I615" s="28">
        <v>14090.9</v>
      </c>
      <c r="J615" s="29">
        <v>7.97826758E7</v>
      </c>
      <c r="K615" s="29">
        <v>13753.708729301135</v>
      </c>
      <c r="L615" s="30">
        <v>30544.099999999988</v>
      </c>
      <c r="M615" s="29">
        <v>4.200946547986466E8</v>
      </c>
      <c r="N615" s="31" t="s">
        <v>710</v>
      </c>
      <c r="O615" s="32"/>
      <c r="P615" s="33" t="str">
        <f t="array" ref="P615">IFERROR(
HYPERLINK(
"https://drive.google.com/file/d/"&amp;
XLOOKUP(O615,'Hoa-Don'!A:A,'Hoa-Don'!D:D)
&amp;"/view",
"🔎"
),
""
)</f>
        <v/>
      </c>
    </row>
    <row r="616" ht="22.5" customHeight="1">
      <c r="A616" s="21">
        <v>615.0</v>
      </c>
      <c r="B616" s="22">
        <v>43363.0</v>
      </c>
      <c r="C616" s="23">
        <v>304.0</v>
      </c>
      <c r="D616" s="24" t="s">
        <v>130</v>
      </c>
      <c r="E616" s="35" t="s">
        <v>18</v>
      </c>
      <c r="F616" s="26"/>
      <c r="G616" s="36" t="s">
        <v>42</v>
      </c>
      <c r="H616" s="28">
        <v>412.0</v>
      </c>
      <c r="I616" s="28">
        <v>12830.491967170783</v>
      </c>
      <c r="J616" s="29">
        <v>5286162.690474363</v>
      </c>
      <c r="K616" s="29">
        <v>12830.491967170783</v>
      </c>
      <c r="L616" s="30">
        <v>37221.07000000001</v>
      </c>
      <c r="M616" s="29">
        <v>4.775646396445015E8</v>
      </c>
      <c r="N616" s="31" t="s">
        <v>711</v>
      </c>
      <c r="O616" s="32"/>
      <c r="P616" s="33" t="str">
        <f t="array" ref="P616">IFERROR(
HYPERLINK(
"https://drive.google.com/file/d/"&amp;
XLOOKUP(O616,'Hoa-Don'!A:A,'Hoa-Don'!D:D)
&amp;"/view",
"🔎"
),
""
)</f>
        <v/>
      </c>
    </row>
    <row r="617" ht="22.5" customHeight="1">
      <c r="A617" s="21">
        <v>616.0</v>
      </c>
      <c r="B617" s="22">
        <v>43369.0</v>
      </c>
      <c r="C617" s="23">
        <v>305.0</v>
      </c>
      <c r="D617" s="24" t="s">
        <v>712</v>
      </c>
      <c r="E617" s="37" t="s">
        <v>16</v>
      </c>
      <c r="F617" s="26"/>
      <c r="G617" s="36" t="s">
        <v>42</v>
      </c>
      <c r="H617" s="28">
        <v>523.0</v>
      </c>
      <c r="I617" s="28">
        <v>14513.660821349476</v>
      </c>
      <c r="J617" s="29">
        <v>7590644.609565776</v>
      </c>
      <c r="K617" s="29">
        <v>14513.660821349476</v>
      </c>
      <c r="L617" s="30">
        <v>1029.0</v>
      </c>
      <c r="M617" s="29">
        <v>1.4934556985168612E7</v>
      </c>
      <c r="N617" s="31" t="s">
        <v>713</v>
      </c>
      <c r="O617" s="32"/>
      <c r="P617" s="33" t="str">
        <f t="array" ref="P617">IFERROR(
HYPERLINK(
"https://drive.google.com/file/d/"&amp;
XLOOKUP(O617,'Hoa-Don'!A:A,'Hoa-Don'!D:D)
&amp;"/view",
"🔎"
),
""
)</f>
        <v/>
      </c>
    </row>
    <row r="618" ht="22.5" customHeight="1">
      <c r="A618" s="21">
        <v>617.0</v>
      </c>
      <c r="B618" s="22">
        <v>43371.0</v>
      </c>
      <c r="C618" s="23">
        <v>306.0</v>
      </c>
      <c r="D618" s="24" t="s">
        <v>93</v>
      </c>
      <c r="E618" s="25" t="s">
        <v>11</v>
      </c>
      <c r="F618" s="26"/>
      <c r="G618" s="36" t="s">
        <v>42</v>
      </c>
      <c r="H618" s="28">
        <v>5331.0</v>
      </c>
      <c r="I618" s="28">
        <v>13753.708729301135</v>
      </c>
      <c r="J618" s="29">
        <v>7.332102123590435E7</v>
      </c>
      <c r="K618" s="29">
        <v>13753.708729301135</v>
      </c>
      <c r="L618" s="30">
        <v>25213.099999999988</v>
      </c>
      <c r="M618" s="29">
        <v>3.467736335627423E8</v>
      </c>
      <c r="N618" s="31" t="s">
        <v>714</v>
      </c>
      <c r="O618" s="32"/>
      <c r="P618" s="33" t="str">
        <f t="array" ref="P618">IFERROR(
HYPERLINK(
"https://drive.google.com/file/d/"&amp;
XLOOKUP(O618,'Hoa-Don'!A:A,'Hoa-Don'!D:D)
&amp;"/view",
"🔎"
),
""
)</f>
        <v/>
      </c>
    </row>
    <row r="619" ht="22.5" customHeight="1">
      <c r="A619" s="21">
        <v>618.0</v>
      </c>
      <c r="B619" s="22">
        <v>43374.0</v>
      </c>
      <c r="C619" s="23">
        <v>307.0</v>
      </c>
      <c r="D619" s="24" t="s">
        <v>93</v>
      </c>
      <c r="E619" s="35" t="s">
        <v>18</v>
      </c>
      <c r="F619" s="26"/>
      <c r="G619" s="36" t="s">
        <v>42</v>
      </c>
      <c r="H619" s="28">
        <v>4570.0</v>
      </c>
      <c r="I619" s="28">
        <v>12830.491967170783</v>
      </c>
      <c r="J619" s="29">
        <v>5.863534828997048E7</v>
      </c>
      <c r="K619" s="29">
        <v>12830.491967170783</v>
      </c>
      <c r="L619" s="30">
        <v>32651.070000000007</v>
      </c>
      <c r="M619" s="29">
        <v>4.1892929135453105E8</v>
      </c>
      <c r="N619" s="31" t="s">
        <v>715</v>
      </c>
      <c r="O619" s="32"/>
      <c r="P619" s="33" t="str">
        <f t="array" ref="P619">IFERROR(
HYPERLINK(
"https://drive.google.com/file/d/"&amp;
XLOOKUP(O619,'Hoa-Don'!A:A,'Hoa-Don'!D:D)
&amp;"/view",
"🔎"
),
""
)</f>
        <v/>
      </c>
    </row>
    <row r="620" ht="22.5" customHeight="1">
      <c r="A620" s="21">
        <v>619.0</v>
      </c>
      <c r="B620" s="22">
        <v>43374.0</v>
      </c>
      <c r="C620" s="23">
        <v>307.0</v>
      </c>
      <c r="D620" s="24" t="s">
        <v>93</v>
      </c>
      <c r="E620" s="25" t="s">
        <v>11</v>
      </c>
      <c r="F620" s="26"/>
      <c r="G620" s="36" t="s">
        <v>42</v>
      </c>
      <c r="H620" s="28">
        <v>5300.0</v>
      </c>
      <c r="I620" s="28">
        <v>13753.708729301135</v>
      </c>
      <c r="J620" s="29">
        <v>7.289465626529601E7</v>
      </c>
      <c r="K620" s="29">
        <v>13753.708729301135</v>
      </c>
      <c r="L620" s="30">
        <v>19913.099999999988</v>
      </c>
      <c r="M620" s="29">
        <v>2.7387897729744625E8</v>
      </c>
      <c r="N620" s="31" t="s">
        <v>716</v>
      </c>
      <c r="O620" s="32"/>
      <c r="P620" s="33" t="str">
        <f t="array" ref="P620">IFERROR(
HYPERLINK(
"https://drive.google.com/file/d/"&amp;
XLOOKUP(O620,'Hoa-Don'!A:A,'Hoa-Don'!D:D)
&amp;"/view",
"🔎"
),
""
)</f>
        <v/>
      </c>
    </row>
    <row r="621" ht="22.5" customHeight="1">
      <c r="A621" s="21">
        <v>620.0</v>
      </c>
      <c r="B621" s="22">
        <v>43378.0</v>
      </c>
      <c r="C621" s="23">
        <v>308.0</v>
      </c>
      <c r="D621" s="24" t="s">
        <v>63</v>
      </c>
      <c r="E621" s="35" t="s">
        <v>18</v>
      </c>
      <c r="F621" s="26"/>
      <c r="G621" s="36" t="s">
        <v>42</v>
      </c>
      <c r="H621" s="28">
        <v>120.5</v>
      </c>
      <c r="I621" s="28">
        <v>12830.491967170783</v>
      </c>
      <c r="J621" s="29">
        <v>1546074.2820440794</v>
      </c>
      <c r="K621" s="29">
        <v>12830.491967170783</v>
      </c>
      <c r="L621" s="30">
        <v>32530.570000000007</v>
      </c>
      <c r="M621" s="29">
        <v>4.1738321707248694E8</v>
      </c>
      <c r="N621" s="31" t="s">
        <v>717</v>
      </c>
      <c r="O621" s="32"/>
      <c r="P621" s="33" t="str">
        <f t="array" ref="P621">IFERROR(
HYPERLINK(
"https://drive.google.com/file/d/"&amp;
XLOOKUP(O621,'Hoa-Don'!A:A,'Hoa-Don'!D:D)
&amp;"/view",
"🔎"
),
""
)</f>
        <v/>
      </c>
    </row>
    <row r="622" ht="22.5" customHeight="1">
      <c r="A622" s="21">
        <v>621.0</v>
      </c>
      <c r="B622" s="22">
        <v>43379.0</v>
      </c>
      <c r="C622" s="23">
        <v>1582.0</v>
      </c>
      <c r="D622" s="24" t="s">
        <v>253</v>
      </c>
      <c r="E622" s="35" t="s">
        <v>18</v>
      </c>
      <c r="F622" s="26"/>
      <c r="G622" s="27" t="s">
        <v>38</v>
      </c>
      <c r="H622" s="28">
        <v>2144.0</v>
      </c>
      <c r="I622" s="28">
        <v>13636.36</v>
      </c>
      <c r="J622" s="29">
        <v>2.923635584E7</v>
      </c>
      <c r="K622" s="29">
        <v>12880.320445574</v>
      </c>
      <c r="L622" s="30">
        <v>34674.57000000001</v>
      </c>
      <c r="M622" s="29">
        <v>4.466195729124869E8</v>
      </c>
      <c r="N622" s="31" t="s">
        <v>718</v>
      </c>
      <c r="O622" s="32"/>
      <c r="P622" s="33" t="str">
        <f t="array" ref="P622">IFERROR(
HYPERLINK(
"https://drive.google.com/file/d/"&amp;
XLOOKUP(O622,'Hoa-Don'!A:A,'Hoa-Don'!D:D)
&amp;"/view",
"🔎"
),
""
)</f>
        <v/>
      </c>
    </row>
    <row r="623" ht="22.5" customHeight="1">
      <c r="A623" s="21">
        <v>622.0</v>
      </c>
      <c r="B623" s="22">
        <v>43379.0</v>
      </c>
      <c r="C623" s="23">
        <v>1582.0</v>
      </c>
      <c r="D623" s="24" t="s">
        <v>253</v>
      </c>
      <c r="E623" s="35" t="s">
        <v>18</v>
      </c>
      <c r="F623" s="26"/>
      <c r="G623" s="27" t="s">
        <v>38</v>
      </c>
      <c r="H623" s="28">
        <v>2698.0</v>
      </c>
      <c r="I623" s="28">
        <v>14818.18</v>
      </c>
      <c r="J623" s="29">
        <v>3.997944964E7</v>
      </c>
      <c r="K623" s="29">
        <v>13020.218372792848</v>
      </c>
      <c r="L623" s="30">
        <v>37372.57000000001</v>
      </c>
      <c r="M623" s="29">
        <v>4.865990225524869E8</v>
      </c>
      <c r="N623" s="31" t="s">
        <v>719</v>
      </c>
      <c r="O623" s="32"/>
      <c r="P623" s="33" t="str">
        <f t="array" ref="P623">IFERROR(
HYPERLINK(
"https://drive.google.com/file/d/"&amp;
XLOOKUP(O623,'Hoa-Don'!A:A,'Hoa-Don'!D:D)
&amp;"/view",
"🔎"
),
""
)</f>
        <v/>
      </c>
    </row>
    <row r="624" ht="22.5" customHeight="1">
      <c r="A624" s="21">
        <v>623.0</v>
      </c>
      <c r="B624" s="22">
        <v>43379.0</v>
      </c>
      <c r="C624" s="23">
        <v>309.0</v>
      </c>
      <c r="D624" s="24" t="s">
        <v>63</v>
      </c>
      <c r="E624" s="35" t="s">
        <v>18</v>
      </c>
      <c r="F624" s="26"/>
      <c r="G624" s="36" t="s">
        <v>42</v>
      </c>
      <c r="H624" s="28">
        <v>144.5</v>
      </c>
      <c r="I624" s="28">
        <v>13020.218372792848</v>
      </c>
      <c r="J624" s="29">
        <v>1881421.5548685666</v>
      </c>
      <c r="K624" s="29">
        <v>13020.218372792848</v>
      </c>
      <c r="L624" s="30">
        <v>37228.07000000001</v>
      </c>
      <c r="M624" s="29">
        <v>4.847176009976183E8</v>
      </c>
      <c r="N624" s="31" t="s">
        <v>720</v>
      </c>
      <c r="O624" s="32"/>
      <c r="P624" s="33" t="str">
        <f t="array" ref="P624">IFERROR(
HYPERLINK(
"https://drive.google.com/file/d/"&amp;
XLOOKUP(O624,'Hoa-Don'!A:A,'Hoa-Don'!D:D)
&amp;"/view",
"🔎"
),
""
)</f>
        <v/>
      </c>
    </row>
    <row r="625" ht="22.5" customHeight="1">
      <c r="A625" s="21">
        <v>624.0</v>
      </c>
      <c r="B625" s="22">
        <v>43379.0</v>
      </c>
      <c r="C625" s="23">
        <v>309.0</v>
      </c>
      <c r="D625" s="24" t="s">
        <v>63</v>
      </c>
      <c r="E625" s="35" t="s">
        <v>18</v>
      </c>
      <c r="F625" s="26"/>
      <c r="G625" s="36" t="s">
        <v>42</v>
      </c>
      <c r="H625" s="28">
        <v>37.0</v>
      </c>
      <c r="I625" s="28">
        <v>13020.218372792848</v>
      </c>
      <c r="J625" s="29">
        <v>481748.07979333535</v>
      </c>
      <c r="K625" s="29">
        <v>13020.218372792848</v>
      </c>
      <c r="L625" s="30">
        <v>37191.07000000001</v>
      </c>
      <c r="M625" s="29">
        <v>4.84235852917825E8</v>
      </c>
      <c r="N625" s="31" t="s">
        <v>721</v>
      </c>
      <c r="O625" s="32"/>
      <c r="P625" s="33" t="str">
        <f t="array" ref="P625">IFERROR(
HYPERLINK(
"https://drive.google.com/file/d/"&amp;
XLOOKUP(O625,'Hoa-Don'!A:A,'Hoa-Don'!D:D)
&amp;"/view",
"🔎"
),
""
)</f>
        <v/>
      </c>
    </row>
    <row r="626" ht="22.5" customHeight="1">
      <c r="A626" s="21">
        <v>625.0</v>
      </c>
      <c r="B626" s="22">
        <v>43380.0</v>
      </c>
      <c r="C626" s="23">
        <v>227.0</v>
      </c>
      <c r="D626" s="24" t="s">
        <v>402</v>
      </c>
      <c r="E626" s="35" t="s">
        <v>18</v>
      </c>
      <c r="F626" s="26"/>
      <c r="G626" s="27" t="s">
        <v>38</v>
      </c>
      <c r="H626" s="28">
        <v>2800.0</v>
      </c>
      <c r="I626" s="28">
        <v>13454.55</v>
      </c>
      <c r="J626" s="29">
        <v>3.767274E7</v>
      </c>
      <c r="K626" s="29">
        <v>13050.628375730505</v>
      </c>
      <c r="L626" s="30">
        <v>39991.07000000001</v>
      </c>
      <c r="M626" s="29">
        <v>5.21908592917825E8</v>
      </c>
      <c r="N626" s="31" t="s">
        <v>722</v>
      </c>
      <c r="O626" s="32"/>
      <c r="P626" s="33" t="str">
        <f t="array" ref="P626">IFERROR(
HYPERLINK(
"https://drive.google.com/file/d/"&amp;
XLOOKUP(O626,'Hoa-Don'!A:A,'Hoa-Don'!D:D)
&amp;"/view",
"🔎"
),
""
)</f>
        <v/>
      </c>
    </row>
    <row r="627" ht="22.5" customHeight="1">
      <c r="A627" s="21">
        <v>626.0</v>
      </c>
      <c r="B627" s="22">
        <v>43394.0</v>
      </c>
      <c r="C627" s="23">
        <v>310.0</v>
      </c>
      <c r="D627" s="24" t="s">
        <v>723</v>
      </c>
      <c r="E627" s="35" t="s">
        <v>18</v>
      </c>
      <c r="F627" s="26"/>
      <c r="G627" s="36" t="s">
        <v>42</v>
      </c>
      <c r="H627" s="28">
        <v>8915.0</v>
      </c>
      <c r="I627" s="28">
        <v>13050.628375730505</v>
      </c>
      <c r="J627" s="29">
        <v>1.1634635196963745E8</v>
      </c>
      <c r="K627" s="29">
        <v>13050.628375730505</v>
      </c>
      <c r="L627" s="30">
        <v>31076.070000000007</v>
      </c>
      <c r="M627" s="29">
        <v>4.0556224094818753E8</v>
      </c>
      <c r="N627" s="31" t="s">
        <v>724</v>
      </c>
      <c r="O627" s="32"/>
      <c r="P627" s="33" t="str">
        <f t="array" ref="P627">IFERROR(
HYPERLINK(
"https://drive.google.com/file/d/"&amp;
XLOOKUP(O627,'Hoa-Don'!A:A,'Hoa-Don'!D:D)
&amp;"/view",
"🔎"
),
""
)</f>
        <v/>
      </c>
    </row>
    <row r="628" ht="22.5" customHeight="1">
      <c r="A628" s="21">
        <v>627.0</v>
      </c>
      <c r="B628" s="22">
        <v>43430.0</v>
      </c>
      <c r="C628" s="23">
        <v>122.0</v>
      </c>
      <c r="D628" s="24" t="s">
        <v>725</v>
      </c>
      <c r="E628" s="35" t="s">
        <v>18</v>
      </c>
      <c r="F628" s="26"/>
      <c r="G628" s="27" t="s">
        <v>38</v>
      </c>
      <c r="H628" s="28">
        <v>2308.0</v>
      </c>
      <c r="I628" s="28">
        <v>12545.45</v>
      </c>
      <c r="J628" s="29">
        <v>2.89548986E7</v>
      </c>
      <c r="K628" s="29">
        <v>13015.702984932259</v>
      </c>
      <c r="L628" s="30">
        <v>33384.07000000001</v>
      </c>
      <c r="M628" s="29">
        <v>4.3451713954818755E8</v>
      </c>
      <c r="N628" s="31" t="s">
        <v>726</v>
      </c>
      <c r="O628" s="32"/>
      <c r="P628" s="33" t="str">
        <f t="array" ref="P628">IFERROR(
HYPERLINK(
"https://drive.google.com/file/d/"&amp;
XLOOKUP(O628,'Hoa-Don'!A:A,'Hoa-Don'!D:D)
&amp;"/view",
"🔎"
),
""
)</f>
        <v/>
      </c>
    </row>
    <row r="629" ht="22.5" customHeight="1">
      <c r="A629" s="21">
        <v>628.0</v>
      </c>
      <c r="B629" s="22">
        <v>43430.0</v>
      </c>
      <c r="C629" s="23">
        <v>122.0</v>
      </c>
      <c r="D629" s="24" t="s">
        <v>725</v>
      </c>
      <c r="E629" s="35" t="s">
        <v>18</v>
      </c>
      <c r="F629" s="26"/>
      <c r="G629" s="27" t="s">
        <v>38</v>
      </c>
      <c r="H629" s="28">
        <v>1416.0</v>
      </c>
      <c r="I629" s="28">
        <v>13909.09</v>
      </c>
      <c r="J629" s="29">
        <v>1.969527144E7</v>
      </c>
      <c r="K629" s="29">
        <v>13052.05452138997</v>
      </c>
      <c r="L629" s="30">
        <v>34800.07000000001</v>
      </c>
      <c r="M629" s="29">
        <v>4.5421241098818755E8</v>
      </c>
      <c r="N629" s="31" t="s">
        <v>727</v>
      </c>
      <c r="O629" s="32"/>
      <c r="P629" s="33" t="str">
        <f t="array" ref="P629">IFERROR(
HYPERLINK(
"https://drive.google.com/file/d/"&amp;
XLOOKUP(O629,'Hoa-Don'!A:A,'Hoa-Don'!D:D)
&amp;"/view",
"🔎"
),
""
)</f>
        <v/>
      </c>
    </row>
    <row r="630" ht="22.5" customHeight="1">
      <c r="A630" s="21">
        <v>629.0</v>
      </c>
      <c r="B630" s="22">
        <v>43432.0</v>
      </c>
      <c r="C630" s="23">
        <v>364.0</v>
      </c>
      <c r="D630" s="24" t="s">
        <v>155</v>
      </c>
      <c r="E630" s="35" t="s">
        <v>18</v>
      </c>
      <c r="F630" s="26"/>
      <c r="G630" s="27" t="s">
        <v>38</v>
      </c>
      <c r="H630" s="28">
        <v>3634.0</v>
      </c>
      <c r="I630" s="28">
        <v>12454.55</v>
      </c>
      <c r="J630" s="29">
        <v>4.5259834699999996E7</v>
      </c>
      <c r="K630" s="29">
        <v>12995.559556617018</v>
      </c>
      <c r="L630" s="30">
        <v>38434.07000000001</v>
      </c>
      <c r="M630" s="29">
        <v>4.9947224568818754E8</v>
      </c>
      <c r="N630" s="31" t="s">
        <v>728</v>
      </c>
      <c r="O630" s="32"/>
      <c r="P630" s="33" t="str">
        <f t="array" ref="P630">IFERROR(
HYPERLINK(
"https://drive.google.com/file/d/"&amp;
XLOOKUP(O630,'Hoa-Don'!A:A,'Hoa-Don'!D:D)
&amp;"/view",
"🔎"
),
""
)</f>
        <v/>
      </c>
    </row>
    <row r="631" ht="22.5" customHeight="1">
      <c r="A631" s="21">
        <v>630.0</v>
      </c>
      <c r="B631" s="22">
        <v>43437.0</v>
      </c>
      <c r="C631" s="23">
        <v>1306.0</v>
      </c>
      <c r="D631" s="24" t="s">
        <v>40</v>
      </c>
      <c r="E631" s="25" t="s">
        <v>11</v>
      </c>
      <c r="F631" s="26"/>
      <c r="G631" s="27" t="s">
        <v>38</v>
      </c>
      <c r="H631" s="28">
        <v>1125.58</v>
      </c>
      <c r="I631" s="28">
        <v>15636.36</v>
      </c>
      <c r="J631" s="29">
        <v>1.75999740888E7</v>
      </c>
      <c r="K631" s="29">
        <v>13854.431522616745</v>
      </c>
      <c r="L631" s="30">
        <v>21038.679999999986</v>
      </c>
      <c r="M631" s="29">
        <v>2.9147895138624626E8</v>
      </c>
      <c r="N631" s="31" t="s">
        <v>729</v>
      </c>
      <c r="O631" s="32"/>
      <c r="P631" s="33" t="str">
        <f t="array" ref="P631">IFERROR(
HYPERLINK(
"https://drive.google.com/file/d/"&amp;
XLOOKUP(O631,'Hoa-Don'!A:A,'Hoa-Don'!D:D)
&amp;"/view",
"🔎"
),
""
)</f>
        <v/>
      </c>
    </row>
    <row r="632" ht="22.5" customHeight="1">
      <c r="A632" s="21">
        <v>631.0</v>
      </c>
      <c r="B632" s="22">
        <v>43439.0</v>
      </c>
      <c r="C632" s="23">
        <v>311.0</v>
      </c>
      <c r="D632" s="24" t="s">
        <v>730</v>
      </c>
      <c r="E632" s="35" t="s">
        <v>18</v>
      </c>
      <c r="F632" s="26"/>
      <c r="G632" s="36" t="s">
        <v>42</v>
      </c>
      <c r="H632" s="28">
        <v>340.0</v>
      </c>
      <c r="I632" s="28">
        <v>12995.559556617018</v>
      </c>
      <c r="J632" s="29">
        <v>4418490.249249786</v>
      </c>
      <c r="K632" s="29">
        <v>12995.559556617018</v>
      </c>
      <c r="L632" s="30">
        <v>38094.07000000001</v>
      </c>
      <c r="M632" s="29">
        <v>4.950537554389377E8</v>
      </c>
      <c r="N632" s="31" t="s">
        <v>731</v>
      </c>
      <c r="O632" s="32"/>
      <c r="P632" s="33" t="str">
        <f t="array" ref="P632">IFERROR(
HYPERLINK(
"https://drive.google.com/file/d/"&amp;
XLOOKUP(O632,'Hoa-Don'!A:A,'Hoa-Don'!D:D)
&amp;"/view",
"🔎"
),
""
)</f>
        <v/>
      </c>
    </row>
    <row r="633" ht="22.5" customHeight="1">
      <c r="A633" s="21">
        <v>632.0</v>
      </c>
      <c r="B633" s="22">
        <v>43440.0</v>
      </c>
      <c r="C633" s="23">
        <v>1314.0</v>
      </c>
      <c r="D633" s="24" t="s">
        <v>40</v>
      </c>
      <c r="E633" s="25" t="s">
        <v>11</v>
      </c>
      <c r="F633" s="26"/>
      <c r="G633" s="27" t="s">
        <v>38</v>
      </c>
      <c r="H633" s="28">
        <v>2674.42</v>
      </c>
      <c r="I633" s="28">
        <v>15636.36</v>
      </c>
      <c r="J633" s="29">
        <v>4.18181939112E7</v>
      </c>
      <c r="K633" s="29">
        <v>14055.4016681685</v>
      </c>
      <c r="L633" s="30">
        <v>23713.099999999984</v>
      </c>
      <c r="M633" s="29">
        <v>3.3329714529744625E8</v>
      </c>
      <c r="N633" s="31" t="s">
        <v>732</v>
      </c>
      <c r="O633" s="32"/>
      <c r="P633" s="33" t="str">
        <f t="array" ref="P633">IFERROR(
HYPERLINK(
"https://drive.google.com/file/d/"&amp;
XLOOKUP(O633,'Hoa-Don'!A:A,'Hoa-Don'!D:D)
&amp;"/view",
"🔎"
),
""
)</f>
        <v/>
      </c>
    </row>
    <row r="634" ht="22.5" customHeight="1">
      <c r="A634" s="21">
        <v>633.0</v>
      </c>
      <c r="B634" s="22">
        <v>43440.0</v>
      </c>
      <c r="C634" s="23">
        <v>312.0</v>
      </c>
      <c r="D634" s="24" t="s">
        <v>93</v>
      </c>
      <c r="E634" s="25" t="s">
        <v>11</v>
      </c>
      <c r="F634" s="26"/>
      <c r="G634" s="36" t="s">
        <v>42</v>
      </c>
      <c r="H634" s="28">
        <v>3150.0</v>
      </c>
      <c r="I634" s="28">
        <v>14055.4016681685</v>
      </c>
      <c r="J634" s="29">
        <v>4.4274515254730776E7</v>
      </c>
      <c r="K634" s="29">
        <v>14055.4016681685</v>
      </c>
      <c r="L634" s="30">
        <v>20563.099999999984</v>
      </c>
      <c r="M634" s="29">
        <v>2.890226300427155E8</v>
      </c>
      <c r="N634" s="31" t="s">
        <v>733</v>
      </c>
      <c r="O634" s="32"/>
      <c r="P634" s="33" t="str">
        <f t="array" ref="P634">IFERROR(
HYPERLINK(
"https://drive.google.com/file/d/"&amp;
XLOOKUP(O634,'Hoa-Don'!A:A,'Hoa-Don'!D:D)
&amp;"/view",
"🔎"
),
""
)</f>
        <v/>
      </c>
    </row>
    <row r="635" ht="22.5" customHeight="1">
      <c r="A635" s="21">
        <v>634.0</v>
      </c>
      <c r="B635" s="22">
        <v>43440.0</v>
      </c>
      <c r="C635" s="23">
        <v>312.0</v>
      </c>
      <c r="D635" s="24" t="s">
        <v>93</v>
      </c>
      <c r="E635" s="35" t="s">
        <v>18</v>
      </c>
      <c r="F635" s="26"/>
      <c r="G635" s="36" t="s">
        <v>42</v>
      </c>
      <c r="H635" s="28">
        <v>5557.0</v>
      </c>
      <c r="I635" s="28">
        <v>12995.559556617018</v>
      </c>
      <c r="J635" s="29">
        <v>7.221632445612077E7</v>
      </c>
      <c r="K635" s="29">
        <v>12995.559556617018</v>
      </c>
      <c r="L635" s="30">
        <v>32537.070000000007</v>
      </c>
      <c r="M635" s="29">
        <v>4.2283743098281693E8</v>
      </c>
      <c r="N635" s="31" t="s">
        <v>734</v>
      </c>
      <c r="O635" s="32"/>
      <c r="P635" s="33" t="str">
        <f t="array" ref="P635">IFERROR(
HYPERLINK(
"https://drive.google.com/file/d/"&amp;
XLOOKUP(O635,'Hoa-Don'!A:A,'Hoa-Don'!D:D)
&amp;"/view",
"🔎"
),
""
)</f>
        <v/>
      </c>
    </row>
    <row r="636" ht="22.5" customHeight="1">
      <c r="A636" s="21">
        <v>635.0</v>
      </c>
      <c r="B636" s="22">
        <v>43440.0</v>
      </c>
      <c r="C636" s="23">
        <v>313.0</v>
      </c>
      <c r="D636" s="24" t="s">
        <v>63</v>
      </c>
      <c r="E636" s="25" t="s">
        <v>11</v>
      </c>
      <c r="F636" s="26"/>
      <c r="G636" s="36" t="s">
        <v>42</v>
      </c>
      <c r="H636" s="28">
        <v>609.0</v>
      </c>
      <c r="I636" s="28">
        <v>14055.4016681685</v>
      </c>
      <c r="J636" s="29">
        <v>8559739.615914617</v>
      </c>
      <c r="K636" s="29">
        <v>14055.4016681685</v>
      </c>
      <c r="L636" s="30">
        <v>19954.099999999984</v>
      </c>
      <c r="M636" s="29">
        <v>2.8046289042680085E8</v>
      </c>
      <c r="N636" s="31" t="s">
        <v>735</v>
      </c>
      <c r="O636" s="32"/>
      <c r="P636" s="33" t="str">
        <f t="array" ref="P636">IFERROR(
HYPERLINK(
"https://drive.google.com/file/d/"&amp;
XLOOKUP(O636,'Hoa-Don'!A:A,'Hoa-Don'!D:D)
&amp;"/view",
"🔎"
),
""
)</f>
        <v/>
      </c>
    </row>
    <row r="637" ht="22.5" customHeight="1">
      <c r="A637" s="21">
        <v>636.0</v>
      </c>
      <c r="B637" s="22">
        <v>43441.0</v>
      </c>
      <c r="C637" s="23">
        <v>314.0</v>
      </c>
      <c r="D637" s="24" t="s">
        <v>723</v>
      </c>
      <c r="E637" s="25" t="s">
        <v>11</v>
      </c>
      <c r="F637" s="26"/>
      <c r="G637" s="36" t="s">
        <v>42</v>
      </c>
      <c r="H637" s="28">
        <v>2580.0</v>
      </c>
      <c r="I637" s="28">
        <v>14055.4016681685</v>
      </c>
      <c r="J637" s="29">
        <v>3.626293630387473E7</v>
      </c>
      <c r="K637" s="29">
        <v>14055.4016681685</v>
      </c>
      <c r="L637" s="30">
        <v>17374.099999999984</v>
      </c>
      <c r="M637" s="29">
        <v>2.4419995412292612E8</v>
      </c>
      <c r="N637" s="31" t="s">
        <v>736</v>
      </c>
      <c r="O637" s="32"/>
      <c r="P637" s="33" t="str">
        <f t="array" ref="P637">IFERROR(
HYPERLINK(
"https://drive.google.com/file/d/"&amp;
XLOOKUP(O637,'Hoa-Don'!A:A,'Hoa-Don'!D:D)
&amp;"/view",
"🔎"
),
""
)</f>
        <v/>
      </c>
    </row>
    <row r="638" ht="22.5" customHeight="1">
      <c r="A638" s="21">
        <v>637.0</v>
      </c>
      <c r="B638" s="22">
        <v>43442.0</v>
      </c>
      <c r="C638" s="23">
        <v>315.0</v>
      </c>
      <c r="D638" s="24" t="s">
        <v>48</v>
      </c>
      <c r="E638" s="35" t="s">
        <v>18</v>
      </c>
      <c r="F638" s="26"/>
      <c r="G638" s="36" t="s">
        <v>42</v>
      </c>
      <c r="H638" s="28">
        <v>1150.0</v>
      </c>
      <c r="I638" s="28">
        <v>12995.559556617018</v>
      </c>
      <c r="J638" s="29">
        <v>1.494489349010957E7</v>
      </c>
      <c r="K638" s="29">
        <v>12995.559556617018</v>
      </c>
      <c r="L638" s="30">
        <v>31387.070000000007</v>
      </c>
      <c r="M638" s="29">
        <v>4.078925374927074E8</v>
      </c>
      <c r="N638" s="31" t="s">
        <v>737</v>
      </c>
      <c r="O638" s="32"/>
      <c r="P638" s="33" t="str">
        <f t="array" ref="P638">IFERROR(
HYPERLINK(
"https://drive.google.com/file/d/"&amp;
XLOOKUP(O638,'Hoa-Don'!A:A,'Hoa-Don'!D:D)
&amp;"/view",
"🔎"
),
""
)</f>
        <v/>
      </c>
    </row>
    <row r="639" ht="22.5" customHeight="1">
      <c r="A639" s="21">
        <v>638.0</v>
      </c>
      <c r="B639" s="22">
        <v>43444.0</v>
      </c>
      <c r="C639" s="23">
        <v>316.0</v>
      </c>
      <c r="D639" s="24" t="s">
        <v>63</v>
      </c>
      <c r="E639" s="35" t="s">
        <v>18</v>
      </c>
      <c r="F639" s="26"/>
      <c r="G639" s="36" t="s">
        <v>42</v>
      </c>
      <c r="H639" s="28">
        <v>116.0</v>
      </c>
      <c r="I639" s="28">
        <v>12995.559556617018</v>
      </c>
      <c r="J639" s="29">
        <v>1507484.908567574</v>
      </c>
      <c r="K639" s="29">
        <v>12995.559556617018</v>
      </c>
      <c r="L639" s="30">
        <v>31271.070000000007</v>
      </c>
      <c r="M639" s="29">
        <v>4.063850525841398E8</v>
      </c>
      <c r="N639" s="31" t="s">
        <v>738</v>
      </c>
      <c r="O639" s="32"/>
      <c r="P639" s="33" t="str">
        <f t="array" ref="P639">IFERROR(
HYPERLINK(
"https://drive.google.com/file/d/"&amp;
XLOOKUP(O639,'Hoa-Don'!A:A,'Hoa-Don'!D:D)
&amp;"/view",
"🔎"
),
""
)</f>
        <v/>
      </c>
    </row>
    <row r="640" ht="22.5" customHeight="1">
      <c r="A640" s="21">
        <v>639.0</v>
      </c>
      <c r="B640" s="22">
        <v>43444.0</v>
      </c>
      <c r="C640" s="23">
        <v>316.0</v>
      </c>
      <c r="D640" s="24" t="s">
        <v>63</v>
      </c>
      <c r="E640" s="35" t="s">
        <v>18</v>
      </c>
      <c r="F640" s="26"/>
      <c r="G640" s="36" t="s">
        <v>42</v>
      </c>
      <c r="H640" s="28">
        <v>60.5</v>
      </c>
      <c r="I640" s="28">
        <v>12995.559556617018</v>
      </c>
      <c r="J640" s="29">
        <v>786231.3531753296</v>
      </c>
      <c r="K640" s="29">
        <v>12995.559556617018</v>
      </c>
      <c r="L640" s="30">
        <v>31210.570000000007</v>
      </c>
      <c r="M640" s="29">
        <v>4.055988212309645E8</v>
      </c>
      <c r="N640" s="31" t="s">
        <v>739</v>
      </c>
      <c r="O640" s="32"/>
      <c r="P640" s="33" t="str">
        <f t="array" ref="P640">IFERROR(
HYPERLINK(
"https://drive.google.com/file/d/"&amp;
XLOOKUP(O640,'Hoa-Don'!A:A,'Hoa-Don'!D:D)
&amp;"/view",
"🔎"
),
""
)</f>
        <v/>
      </c>
    </row>
    <row r="641" ht="22.5" customHeight="1">
      <c r="A641" s="21">
        <v>640.0</v>
      </c>
      <c r="B641" s="22">
        <v>43444.0</v>
      </c>
      <c r="C641" s="23">
        <v>316.0</v>
      </c>
      <c r="D641" s="24" t="s">
        <v>63</v>
      </c>
      <c r="E641" s="25" t="s">
        <v>11</v>
      </c>
      <c r="F641" s="26"/>
      <c r="G641" s="36" t="s">
        <v>42</v>
      </c>
      <c r="H641" s="28">
        <v>48.0</v>
      </c>
      <c r="I641" s="28">
        <v>14055.4016681685</v>
      </c>
      <c r="J641" s="29">
        <v>674659.280072088</v>
      </c>
      <c r="K641" s="29">
        <v>14055.4016681685</v>
      </c>
      <c r="L641" s="30">
        <v>17326.099999999984</v>
      </c>
      <c r="M641" s="29">
        <v>2.4352529484285402E8</v>
      </c>
      <c r="N641" s="31" t="s">
        <v>740</v>
      </c>
      <c r="O641" s="32"/>
      <c r="P641" s="33" t="str">
        <f t="array" ref="P641">IFERROR(
HYPERLINK(
"https://drive.google.com/file/d/"&amp;
XLOOKUP(O641,'Hoa-Don'!A:A,'Hoa-Don'!D:D)
&amp;"/view",
"🔎"
),
""
)</f>
        <v/>
      </c>
    </row>
    <row r="642" ht="22.5" customHeight="1">
      <c r="A642" s="21">
        <v>641.0</v>
      </c>
      <c r="B642" s="22">
        <v>43454.0</v>
      </c>
      <c r="C642" s="23">
        <v>317.0</v>
      </c>
      <c r="D642" s="24" t="s">
        <v>723</v>
      </c>
      <c r="E642" s="35" t="s">
        <v>18</v>
      </c>
      <c r="F642" s="26"/>
      <c r="G642" s="36" t="s">
        <v>42</v>
      </c>
      <c r="H642" s="28">
        <v>6000.0</v>
      </c>
      <c r="I642" s="28">
        <v>12995.559556617018</v>
      </c>
      <c r="J642" s="29">
        <v>7.79733573397021E7</v>
      </c>
      <c r="K642" s="29">
        <v>12995.559556617018</v>
      </c>
      <c r="L642" s="30">
        <v>25210.570000000007</v>
      </c>
      <c r="M642" s="29">
        <v>3.2762546389126235E8</v>
      </c>
      <c r="N642" s="31" t="s">
        <v>741</v>
      </c>
      <c r="O642" s="32"/>
      <c r="P642" s="33" t="str">
        <f t="array" ref="P642">IFERROR(
HYPERLINK(
"https://drive.google.com/file/d/"&amp;
XLOOKUP(O642,'Hoa-Don'!A:A,'Hoa-Don'!D:D)
&amp;"/view",
"🔎"
),
""
)</f>
        <v/>
      </c>
    </row>
    <row r="643" ht="22.5" customHeight="1">
      <c r="A643" s="21">
        <v>642.0</v>
      </c>
      <c r="B643" s="22">
        <v>43455.0</v>
      </c>
      <c r="C643" s="23">
        <v>983.0</v>
      </c>
      <c r="D643" s="24" t="s">
        <v>329</v>
      </c>
      <c r="E643" s="38" t="s">
        <v>22</v>
      </c>
      <c r="F643" s="26"/>
      <c r="G643" s="27" t="s">
        <v>38</v>
      </c>
      <c r="H643" s="28">
        <v>10874.0</v>
      </c>
      <c r="I643" s="28">
        <v>16727.0</v>
      </c>
      <c r="J643" s="29">
        <v>1.81889398E8</v>
      </c>
      <c r="K643" s="29">
        <v>16727.0</v>
      </c>
      <c r="L643" s="30">
        <v>10874.0</v>
      </c>
      <c r="M643" s="29">
        <v>1.81889398E8</v>
      </c>
      <c r="N643" s="31" t="s">
        <v>742</v>
      </c>
      <c r="O643" s="32"/>
      <c r="P643" s="33" t="str">
        <f t="array" ref="P643">IFERROR(
HYPERLINK(
"https://drive.google.com/file/d/"&amp;
XLOOKUP(O643,'Hoa-Don'!A:A,'Hoa-Don'!D:D)
&amp;"/view",
"🔎"
),
""
)</f>
        <v/>
      </c>
    </row>
    <row r="644" ht="22.5" customHeight="1">
      <c r="A644" s="21">
        <v>643.0</v>
      </c>
      <c r="B644" s="22">
        <v>43458.0</v>
      </c>
      <c r="C644" s="23">
        <v>318.0</v>
      </c>
      <c r="D644" s="24" t="s">
        <v>48</v>
      </c>
      <c r="E644" s="35" t="s">
        <v>18</v>
      </c>
      <c r="F644" s="26"/>
      <c r="G644" s="36" t="s">
        <v>42</v>
      </c>
      <c r="H644" s="28">
        <v>928.85</v>
      </c>
      <c r="I644" s="28">
        <v>12995.559556617018</v>
      </c>
      <c r="J644" s="29">
        <v>1.2070925494163718E7</v>
      </c>
      <c r="K644" s="29">
        <v>12995.559556617018</v>
      </c>
      <c r="L644" s="30">
        <v>24281.72000000001</v>
      </c>
      <c r="M644" s="29">
        <v>3.1555453839709866E8</v>
      </c>
      <c r="N644" s="31" t="s">
        <v>743</v>
      </c>
      <c r="O644" s="32"/>
      <c r="P644" s="33" t="str">
        <f t="array" ref="P644">IFERROR(
HYPERLINK(
"https://drive.google.com/file/d/"&amp;
XLOOKUP(O644,'Hoa-Don'!A:A,'Hoa-Don'!D:D)
&amp;"/view",
"🔎"
),
""
)</f>
        <v/>
      </c>
    </row>
    <row r="645" ht="22.5" customHeight="1">
      <c r="A645" s="21">
        <v>644.0</v>
      </c>
      <c r="B645" s="22">
        <v>43458.0</v>
      </c>
      <c r="C645" s="23">
        <v>318.0</v>
      </c>
      <c r="D645" s="24" t="s">
        <v>48</v>
      </c>
      <c r="E645" s="35" t="s">
        <v>18</v>
      </c>
      <c r="F645" s="26"/>
      <c r="G645" s="36" t="s">
        <v>42</v>
      </c>
      <c r="H645" s="28">
        <v>45.82</v>
      </c>
      <c r="I645" s="28">
        <v>12995.559556617018</v>
      </c>
      <c r="J645" s="29">
        <v>595456.5388841918</v>
      </c>
      <c r="K645" s="29">
        <v>12995.559556617018</v>
      </c>
      <c r="L645" s="30">
        <v>24235.90000000001</v>
      </c>
      <c r="M645" s="29">
        <v>3.149590818582145E8</v>
      </c>
      <c r="N645" s="31" t="s">
        <v>744</v>
      </c>
      <c r="O645" s="32"/>
      <c r="P645" s="33" t="str">
        <f t="array" ref="P645">IFERROR(
HYPERLINK(
"https://drive.google.com/file/d/"&amp;
XLOOKUP(O645,'Hoa-Don'!A:A,'Hoa-Don'!D:D)
&amp;"/view",
"🔎"
),
""
)</f>
        <v/>
      </c>
    </row>
    <row r="646" ht="22.5" customHeight="1">
      <c r="A646" s="21">
        <v>645.0</v>
      </c>
      <c r="B646" s="22">
        <v>43460.0</v>
      </c>
      <c r="C646" s="23">
        <v>343.0</v>
      </c>
      <c r="D646" s="24" t="s">
        <v>402</v>
      </c>
      <c r="E646" s="35" t="s">
        <v>18</v>
      </c>
      <c r="F646" s="26"/>
      <c r="G646" s="27" t="s">
        <v>38</v>
      </c>
      <c r="H646" s="28">
        <v>2975.0</v>
      </c>
      <c r="I646" s="28">
        <v>12000.0</v>
      </c>
      <c r="J646" s="29">
        <v>3.57E7</v>
      </c>
      <c r="K646" s="29">
        <v>12886.713848428915</v>
      </c>
      <c r="L646" s="30">
        <v>27210.90000000001</v>
      </c>
      <c r="M646" s="29">
        <v>3.506590818582145E8</v>
      </c>
      <c r="N646" s="31" t="s">
        <v>745</v>
      </c>
      <c r="O646" s="32"/>
      <c r="P646" s="33" t="str">
        <f t="array" ref="P646">IFERROR(
HYPERLINK(
"https://drive.google.com/file/d/"&amp;
XLOOKUP(O646,'Hoa-Don'!A:A,'Hoa-Don'!D:D)
&amp;"/view",
"🔎"
),
""
)</f>
        <v/>
      </c>
    </row>
    <row r="647" ht="22.5" customHeight="1">
      <c r="A647" s="21">
        <v>646.0</v>
      </c>
      <c r="B647" s="22">
        <v>43462.0</v>
      </c>
      <c r="C647" s="23">
        <v>319.0</v>
      </c>
      <c r="D647" s="24" t="s">
        <v>723</v>
      </c>
      <c r="E647" s="35" t="s">
        <v>18</v>
      </c>
      <c r="F647" s="26"/>
      <c r="G647" s="36" t="s">
        <v>42</v>
      </c>
      <c r="H647" s="28">
        <v>2781.0</v>
      </c>
      <c r="I647" s="28">
        <v>12886.713848428915</v>
      </c>
      <c r="J647" s="29">
        <v>3.583795121248081E7</v>
      </c>
      <c r="K647" s="29">
        <v>12886.713848428915</v>
      </c>
      <c r="L647" s="30">
        <v>24429.90000000001</v>
      </c>
      <c r="M647" s="29">
        <v>3.1482113064573365E8</v>
      </c>
      <c r="N647" s="31" t="s">
        <v>746</v>
      </c>
      <c r="O647" s="32"/>
      <c r="P647" s="33" t="str">
        <f t="array" ref="P647">IFERROR(
HYPERLINK(
"https://drive.google.com/file/d/"&amp;
XLOOKUP(O647,'Hoa-Don'!A:A,'Hoa-Don'!D:D)
&amp;"/view",
"🔎"
),
""
)</f>
        <v/>
      </c>
    </row>
    <row r="648" ht="22.5" customHeight="1">
      <c r="A648" s="21">
        <v>647.0</v>
      </c>
      <c r="B648" s="22">
        <v>43462.0</v>
      </c>
      <c r="C648" s="23">
        <v>320.0</v>
      </c>
      <c r="D648" s="24" t="s">
        <v>48</v>
      </c>
      <c r="E648" s="35" t="s">
        <v>18</v>
      </c>
      <c r="F648" s="26"/>
      <c r="G648" s="36" t="s">
        <v>42</v>
      </c>
      <c r="H648" s="28">
        <v>612.2</v>
      </c>
      <c r="I648" s="28">
        <v>12886.713848428915</v>
      </c>
      <c r="J648" s="29">
        <v>7889246.218008183</v>
      </c>
      <c r="K648" s="29">
        <v>12886.713848428915</v>
      </c>
      <c r="L648" s="30">
        <v>23817.700000000008</v>
      </c>
      <c r="M648" s="29">
        <v>3.069318844277255E8</v>
      </c>
      <c r="N648" s="31" t="s">
        <v>747</v>
      </c>
      <c r="O648" s="32"/>
      <c r="P648" s="33" t="str">
        <f t="array" ref="P648">IFERROR(
HYPERLINK(
"https://drive.google.com/file/d/"&amp;
XLOOKUP(O648,'Hoa-Don'!A:A,'Hoa-Don'!D:D)
&amp;"/view",
"🔎"
),
""
)</f>
        <v/>
      </c>
    </row>
    <row r="649" ht="22.5" customHeight="1">
      <c r="A649" s="21">
        <v>648.0</v>
      </c>
      <c r="B649" s="22">
        <v>43462.0</v>
      </c>
      <c r="C649" s="23">
        <v>320.0</v>
      </c>
      <c r="D649" s="24" t="s">
        <v>48</v>
      </c>
      <c r="E649" s="35" t="s">
        <v>18</v>
      </c>
      <c r="F649" s="26"/>
      <c r="G649" s="36" t="s">
        <v>42</v>
      </c>
      <c r="H649" s="28">
        <v>82.42</v>
      </c>
      <c r="I649" s="28">
        <v>12886.713848428915</v>
      </c>
      <c r="J649" s="29">
        <v>1062122.9553875113</v>
      </c>
      <c r="K649" s="29">
        <v>12886.713848428915</v>
      </c>
      <c r="L649" s="30">
        <v>23735.28000000001</v>
      </c>
      <c r="M649" s="29">
        <v>3.0586976147233796E8</v>
      </c>
      <c r="N649" s="31" t="s">
        <v>748</v>
      </c>
      <c r="O649" s="32"/>
      <c r="P649" s="33" t="str">
        <f t="array" ref="P649">IFERROR(
HYPERLINK(
"https://drive.google.com/file/d/"&amp;
XLOOKUP(O649,'Hoa-Don'!A:A,'Hoa-Don'!D:D)
&amp;"/view",
"🔎"
),
""
)</f>
        <v/>
      </c>
    </row>
    <row r="650" ht="22.5" customHeight="1">
      <c r="A650" s="21">
        <v>649.0</v>
      </c>
      <c r="B650" s="22">
        <v>43463.0</v>
      </c>
      <c r="C650" s="23">
        <v>321.0</v>
      </c>
      <c r="D650" s="24" t="s">
        <v>48</v>
      </c>
      <c r="E650" s="35" t="s">
        <v>18</v>
      </c>
      <c r="F650" s="26"/>
      <c r="G650" s="36" t="s">
        <v>42</v>
      </c>
      <c r="H650" s="28">
        <v>800.0</v>
      </c>
      <c r="I650" s="28">
        <v>12886.713848428915</v>
      </c>
      <c r="J650" s="29">
        <v>1.0309371078743132E7</v>
      </c>
      <c r="K650" s="29">
        <v>12886.713848428915</v>
      </c>
      <c r="L650" s="30">
        <v>22935.28000000001</v>
      </c>
      <c r="M650" s="29">
        <v>2.9556039039359486E8</v>
      </c>
      <c r="N650" s="31" t="s">
        <v>749</v>
      </c>
      <c r="O650" s="32"/>
      <c r="P650" s="33" t="str">
        <f t="array" ref="P650">IFERROR(
HYPERLINK(
"https://drive.google.com/file/d/"&amp;
XLOOKUP(O650,'Hoa-Don'!A:A,'Hoa-Don'!D:D)
&amp;"/view",
"🔎"
),
""
)</f>
        <v/>
      </c>
    </row>
    <row r="651" ht="22.5" customHeight="1">
      <c r="A651" s="21">
        <v>650.0</v>
      </c>
      <c r="B651" s="22">
        <v>43463.0</v>
      </c>
      <c r="C651" s="23">
        <v>322.0</v>
      </c>
      <c r="D651" s="24" t="s">
        <v>63</v>
      </c>
      <c r="E651" s="25" t="s">
        <v>11</v>
      </c>
      <c r="F651" s="26"/>
      <c r="G651" s="36" t="s">
        <v>42</v>
      </c>
      <c r="H651" s="28">
        <v>139.0</v>
      </c>
      <c r="I651" s="28">
        <v>14055.4016681685</v>
      </c>
      <c r="J651" s="29">
        <v>1953700.8318754216</v>
      </c>
      <c r="K651" s="29">
        <v>14055.4016681685</v>
      </c>
      <c r="L651" s="30">
        <v>17187.099999999984</v>
      </c>
      <c r="M651" s="29">
        <v>2.415715940109786E8</v>
      </c>
      <c r="N651" s="31" t="s">
        <v>750</v>
      </c>
      <c r="O651" s="32"/>
      <c r="P651" s="33" t="str">
        <f t="array" ref="P651">IFERROR(
HYPERLINK(
"https://drive.google.com/file/d/"&amp;
XLOOKUP(O651,'Hoa-Don'!A:A,'Hoa-Don'!D:D)
&amp;"/view",
"🔎"
),
""
)</f>
        <v/>
      </c>
    </row>
    <row r="652" ht="22.5" customHeight="1">
      <c r="A652" s="21">
        <v>651.0</v>
      </c>
      <c r="B652" s="22">
        <v>43463.0</v>
      </c>
      <c r="C652" s="23">
        <v>322.0</v>
      </c>
      <c r="D652" s="24" t="s">
        <v>63</v>
      </c>
      <c r="E652" s="25" t="s">
        <v>11</v>
      </c>
      <c r="F652" s="26"/>
      <c r="G652" s="36" t="s">
        <v>42</v>
      </c>
      <c r="H652" s="28">
        <v>44.0</v>
      </c>
      <c r="I652" s="28">
        <v>14055.4016681685</v>
      </c>
      <c r="J652" s="29">
        <v>618437.673399414</v>
      </c>
      <c r="K652" s="29">
        <v>14055.4016681685</v>
      </c>
      <c r="L652" s="30">
        <v>17143.099999999984</v>
      </c>
      <c r="M652" s="29">
        <v>2.409531563375792E8</v>
      </c>
      <c r="N652" s="31" t="s">
        <v>751</v>
      </c>
      <c r="O652" s="32"/>
      <c r="P652" s="33" t="str">
        <f t="array" ref="P652">IFERROR(
HYPERLINK(
"https://drive.google.com/file/d/"&amp;
XLOOKUP(O652,'Hoa-Don'!A:A,'Hoa-Don'!D:D)
&amp;"/view",
"🔎"
),
""
)</f>
        <v/>
      </c>
    </row>
    <row r="653" ht="22.5" customHeight="1">
      <c r="A653" s="21">
        <v>652.0</v>
      </c>
      <c r="B653" s="22">
        <v>43464.0</v>
      </c>
      <c r="C653" s="23">
        <v>323.0</v>
      </c>
      <c r="D653" s="24" t="s">
        <v>48</v>
      </c>
      <c r="E653" s="35" t="s">
        <v>18</v>
      </c>
      <c r="F653" s="26"/>
      <c r="G653" s="36" t="s">
        <v>42</v>
      </c>
      <c r="H653" s="28">
        <v>377.5</v>
      </c>
      <c r="I653" s="28">
        <v>12886.713848428915</v>
      </c>
      <c r="J653" s="29">
        <v>4864734.477781915</v>
      </c>
      <c r="K653" s="29">
        <v>12886.713848428915</v>
      </c>
      <c r="L653" s="30">
        <v>22557.78000000001</v>
      </c>
      <c r="M653" s="29">
        <v>2.9069565591581297E8</v>
      </c>
      <c r="N653" s="31" t="s">
        <v>752</v>
      </c>
      <c r="O653" s="32"/>
      <c r="P653" s="33" t="str">
        <f t="array" ref="P653">IFERROR(
HYPERLINK(
"https://drive.google.com/file/d/"&amp;
XLOOKUP(O653,'Hoa-Don'!A:A,'Hoa-Don'!D:D)
&amp;"/view",
"🔎"
),
""
)</f>
        <v/>
      </c>
    </row>
    <row r="654" ht="22.5" customHeight="1">
      <c r="A654" s="21">
        <v>653.0</v>
      </c>
      <c r="B654" s="22">
        <v>43464.0</v>
      </c>
      <c r="C654" s="23">
        <v>323.0</v>
      </c>
      <c r="D654" s="24" t="s">
        <v>48</v>
      </c>
      <c r="E654" s="35" t="s">
        <v>18</v>
      </c>
      <c r="F654" s="26"/>
      <c r="G654" s="36" t="s">
        <v>42</v>
      </c>
      <c r="H654" s="28">
        <v>157.0</v>
      </c>
      <c r="I654" s="28">
        <v>12886.713848428915</v>
      </c>
      <c r="J654" s="29">
        <v>2023214.0742033396</v>
      </c>
      <c r="K654" s="29">
        <v>12886.713848428915</v>
      </c>
      <c r="L654" s="30">
        <v>22400.78000000001</v>
      </c>
      <c r="M654" s="29">
        <v>2.886724418416096E8</v>
      </c>
      <c r="N654" s="31" t="s">
        <v>753</v>
      </c>
      <c r="O654" s="32"/>
      <c r="P654" s="33" t="str">
        <f t="array" ref="P654">IFERROR(
HYPERLINK(
"https://drive.google.com/file/d/"&amp;
XLOOKUP(O654,'Hoa-Don'!A:A,'Hoa-Don'!D:D)
&amp;"/view",
"🔎"
),
""
)</f>
        <v/>
      </c>
    </row>
    <row r="655" ht="22.5" customHeight="1">
      <c r="A655" s="21">
        <v>654.0</v>
      </c>
      <c r="B655" s="22">
        <v>43464.0</v>
      </c>
      <c r="C655" s="23">
        <v>323.0</v>
      </c>
      <c r="D655" s="24" t="s">
        <v>48</v>
      </c>
      <c r="E655" s="35" t="s">
        <v>18</v>
      </c>
      <c r="F655" s="26"/>
      <c r="G655" s="36" t="s">
        <v>42</v>
      </c>
      <c r="H655" s="28">
        <v>84.6</v>
      </c>
      <c r="I655" s="28">
        <v>12886.713848428915</v>
      </c>
      <c r="J655" s="29">
        <v>1090215.9915770863</v>
      </c>
      <c r="K655" s="29">
        <v>12886.713848428915</v>
      </c>
      <c r="L655" s="30">
        <v>22316.18000000001</v>
      </c>
      <c r="M655" s="29">
        <v>2.875822258500325E8</v>
      </c>
      <c r="N655" s="31" t="s">
        <v>754</v>
      </c>
      <c r="O655" s="32"/>
      <c r="P655" s="33" t="str">
        <f t="array" ref="P655">IFERROR(
HYPERLINK(
"https://drive.google.com/file/d/"&amp;
XLOOKUP(O655,'Hoa-Don'!A:A,'Hoa-Don'!D:D)
&amp;"/view",
"🔎"
),
""
)</f>
        <v/>
      </c>
    </row>
    <row r="656" ht="22.5" customHeight="1">
      <c r="A656" s="21">
        <v>655.0</v>
      </c>
      <c r="B656" s="22">
        <v>43464.0</v>
      </c>
      <c r="C656" s="23">
        <v>324.0</v>
      </c>
      <c r="D656" s="24" t="s">
        <v>48</v>
      </c>
      <c r="E656" s="35" t="s">
        <v>18</v>
      </c>
      <c r="F656" s="26"/>
      <c r="G656" s="36" t="s">
        <v>42</v>
      </c>
      <c r="H656" s="28">
        <v>268.47</v>
      </c>
      <c r="I656" s="28">
        <v>12886.713848428915</v>
      </c>
      <c r="J656" s="29">
        <v>3459696.066887711</v>
      </c>
      <c r="K656" s="29">
        <v>12886.713848428915</v>
      </c>
      <c r="L656" s="30">
        <v>22047.71000000001</v>
      </c>
      <c r="M656" s="29">
        <v>2.8412252978314483E8</v>
      </c>
      <c r="N656" s="31" t="s">
        <v>755</v>
      </c>
      <c r="O656" s="32"/>
      <c r="P656" s="33" t="str">
        <f t="array" ref="P656">IFERROR(
HYPERLINK(
"https://drive.google.com/file/d/"&amp;
XLOOKUP(O656,'Hoa-Don'!A:A,'Hoa-Don'!D:D)
&amp;"/view",
"🔎"
),
""
)</f>
        <v/>
      </c>
    </row>
    <row r="657" ht="22.5" customHeight="1">
      <c r="A657" s="21">
        <v>656.0</v>
      </c>
      <c r="B657" s="22">
        <v>43464.0</v>
      </c>
      <c r="C657" s="23">
        <v>324.0</v>
      </c>
      <c r="D657" s="24" t="s">
        <v>48</v>
      </c>
      <c r="E657" s="35" t="s">
        <v>18</v>
      </c>
      <c r="F657" s="26"/>
      <c r="G657" s="36" t="s">
        <v>42</v>
      </c>
      <c r="H657" s="28">
        <v>27.5</v>
      </c>
      <c r="I657" s="28">
        <v>12886.713848428915</v>
      </c>
      <c r="J657" s="29">
        <v>354384.63083179516</v>
      </c>
      <c r="K657" s="29">
        <v>12886.713848428915</v>
      </c>
      <c r="L657" s="30">
        <v>22020.21000000001</v>
      </c>
      <c r="M657" s="29">
        <v>2.83768145152313E8</v>
      </c>
      <c r="N657" s="31" t="s">
        <v>756</v>
      </c>
      <c r="O657" s="32"/>
      <c r="P657" s="33" t="str">
        <f t="array" ref="P657">IFERROR(
HYPERLINK(
"https://drive.google.com/file/d/"&amp;
XLOOKUP(O657,'Hoa-Don'!A:A,'Hoa-Don'!D:D)
&amp;"/view",
"🔎"
),
""
)</f>
        <v/>
      </c>
    </row>
    <row r="658" ht="22.5" customHeight="1">
      <c r="A658" s="21">
        <v>657.0</v>
      </c>
      <c r="B658" s="22">
        <v>43464.0</v>
      </c>
      <c r="C658" s="23">
        <v>324.0</v>
      </c>
      <c r="D658" s="24" t="s">
        <v>48</v>
      </c>
      <c r="E658" s="35" t="s">
        <v>18</v>
      </c>
      <c r="F658" s="26"/>
      <c r="G658" s="36" t="s">
        <v>42</v>
      </c>
      <c r="H658" s="28">
        <v>162.15</v>
      </c>
      <c r="I658" s="28">
        <v>12886.713848428915</v>
      </c>
      <c r="J658" s="29">
        <v>2089580.6505227487</v>
      </c>
      <c r="K658" s="29">
        <v>12886.713848428915</v>
      </c>
      <c r="L658" s="30">
        <v>21858.06000000001</v>
      </c>
      <c r="M658" s="29">
        <v>2.816785645017902E8</v>
      </c>
      <c r="N658" s="31" t="s">
        <v>757</v>
      </c>
      <c r="O658" s="32"/>
      <c r="P658" s="33" t="str">
        <f t="array" ref="P658">IFERROR(
HYPERLINK(
"https://drive.google.com/file/d/"&amp;
XLOOKUP(O658,'Hoa-Don'!A:A,'Hoa-Don'!D:D)
&amp;"/view",
"🔎"
),
""
)</f>
        <v/>
      </c>
    </row>
    <row r="659" ht="22.5" customHeight="1">
      <c r="A659" s="21">
        <v>658.0</v>
      </c>
      <c r="B659" s="22">
        <v>43465.0</v>
      </c>
      <c r="C659" s="23">
        <v>325.0</v>
      </c>
      <c r="D659" s="24" t="s">
        <v>130</v>
      </c>
      <c r="E659" s="35" t="s">
        <v>18</v>
      </c>
      <c r="F659" s="26"/>
      <c r="G659" s="36" t="s">
        <v>42</v>
      </c>
      <c r="H659" s="28">
        <v>311.0</v>
      </c>
      <c r="I659" s="28">
        <v>12886.713848428915</v>
      </c>
      <c r="J659" s="29">
        <v>4007768.006861393</v>
      </c>
      <c r="K659" s="29">
        <v>12886.713848428915</v>
      </c>
      <c r="L659" s="30">
        <v>21547.06000000001</v>
      </c>
      <c r="M659" s="29">
        <v>2.7767079649492884E8</v>
      </c>
      <c r="N659" s="31" t="s">
        <v>758</v>
      </c>
      <c r="O659" s="32"/>
      <c r="P659" s="33" t="str">
        <f t="array" ref="P659">IFERROR(
HYPERLINK(
"https://drive.google.com/file/d/"&amp;
XLOOKUP(O659,'Hoa-Don'!A:A,'Hoa-Don'!D:D)
&amp;"/view",
"🔎"
),
""
)</f>
        <v/>
      </c>
    </row>
    <row r="660" ht="22.5" customHeight="1">
      <c r="A660" s="21">
        <v>659.0</v>
      </c>
      <c r="B660" s="22">
        <v>43465.0</v>
      </c>
      <c r="C660" s="23">
        <v>326.0</v>
      </c>
      <c r="D660" s="24" t="s">
        <v>48</v>
      </c>
      <c r="E660" s="35" t="s">
        <v>18</v>
      </c>
      <c r="F660" s="26"/>
      <c r="G660" s="36" t="s">
        <v>42</v>
      </c>
      <c r="H660" s="28">
        <v>785.0</v>
      </c>
      <c r="I660" s="28">
        <v>12886.713848428915</v>
      </c>
      <c r="J660" s="29">
        <v>1.0116070371016698E7</v>
      </c>
      <c r="K660" s="29">
        <v>12886.713848428915</v>
      </c>
      <c r="L660" s="30">
        <v>20762.06000000001</v>
      </c>
      <c r="M660" s="29">
        <v>2.6755472612391216E8</v>
      </c>
      <c r="N660" s="31" t="s">
        <v>759</v>
      </c>
      <c r="O660" s="32"/>
      <c r="P660" s="33" t="str">
        <f t="array" ref="P660">IFERROR(
HYPERLINK(
"https://drive.google.com/file/d/"&amp;
XLOOKUP(O660,'Hoa-Don'!A:A,'Hoa-Don'!D:D)
&amp;"/view",
"🔎"
),
""
)</f>
        <v/>
      </c>
    </row>
    <row r="661" ht="22.5" customHeight="1">
      <c r="A661" s="21">
        <v>660.0</v>
      </c>
      <c r="B661" s="22">
        <v>43470.0</v>
      </c>
      <c r="C661" s="23">
        <v>327.0</v>
      </c>
      <c r="D661" s="24" t="s">
        <v>460</v>
      </c>
      <c r="E661" s="35" t="s">
        <v>18</v>
      </c>
      <c r="F661" s="26"/>
      <c r="G661" s="36" t="s">
        <v>42</v>
      </c>
      <c r="H661" s="28">
        <v>3031.0</v>
      </c>
      <c r="I661" s="28">
        <v>12886.713848428915</v>
      </c>
      <c r="J661" s="29">
        <v>3.905962967458804E7</v>
      </c>
      <c r="K661" s="29">
        <v>12886.713848428915</v>
      </c>
      <c r="L661" s="30">
        <v>17731.06000000001</v>
      </c>
      <c r="M661" s="29">
        <v>2.284950964493241E8</v>
      </c>
      <c r="N661" s="31" t="s">
        <v>760</v>
      </c>
      <c r="O661" s="32"/>
      <c r="P661" s="33" t="str">
        <f t="array" ref="P661">IFERROR(
HYPERLINK(
"https://drive.google.com/file/d/"&amp;
XLOOKUP(O661,'Hoa-Don'!A:A,'Hoa-Don'!D:D)
&amp;"/view",
"🔎"
),
""
)</f>
        <v/>
      </c>
    </row>
    <row r="662" ht="22.5" customHeight="1">
      <c r="A662" s="21">
        <v>661.0</v>
      </c>
      <c r="B662" s="22">
        <v>43473.0</v>
      </c>
      <c r="C662" s="23">
        <v>328.0</v>
      </c>
      <c r="D662" s="24" t="s">
        <v>48</v>
      </c>
      <c r="E662" s="35" t="s">
        <v>18</v>
      </c>
      <c r="F662" s="26"/>
      <c r="G662" s="36" t="s">
        <v>42</v>
      </c>
      <c r="H662" s="28">
        <v>867.42</v>
      </c>
      <c r="I662" s="28">
        <v>12886.713848428915</v>
      </c>
      <c r="J662" s="29">
        <v>1.1178193326404208E7</v>
      </c>
      <c r="K662" s="29">
        <v>12886.713848428915</v>
      </c>
      <c r="L662" s="30">
        <v>16863.64000000001</v>
      </c>
      <c r="M662" s="29">
        <v>2.1731690312291992E8</v>
      </c>
      <c r="N662" s="31" t="s">
        <v>761</v>
      </c>
      <c r="O662" s="32"/>
      <c r="P662" s="33" t="str">
        <f t="array" ref="P662">IFERROR(
HYPERLINK(
"https://drive.google.com/file/d/"&amp;
XLOOKUP(O662,'Hoa-Don'!A:A,'Hoa-Don'!D:D)
&amp;"/view",
"🔎"
),
""
)</f>
        <v/>
      </c>
    </row>
    <row r="663" ht="22.5" customHeight="1">
      <c r="A663" s="21">
        <v>662.0</v>
      </c>
      <c r="B663" s="22">
        <v>43473.0</v>
      </c>
      <c r="C663" s="23">
        <v>328.0</v>
      </c>
      <c r="D663" s="24" t="s">
        <v>48</v>
      </c>
      <c r="E663" s="35" t="s">
        <v>18</v>
      </c>
      <c r="F663" s="26"/>
      <c r="G663" s="36" t="s">
        <v>42</v>
      </c>
      <c r="H663" s="28">
        <v>261.4</v>
      </c>
      <c r="I663" s="28">
        <v>12886.713848428915</v>
      </c>
      <c r="J663" s="29">
        <v>3368586.999979318</v>
      </c>
      <c r="K663" s="29">
        <v>12886.713848428915</v>
      </c>
      <c r="L663" s="30">
        <v>16602.24000000001</v>
      </c>
      <c r="M663" s="29">
        <v>2.139483161229406E8</v>
      </c>
      <c r="N663" s="31" t="s">
        <v>762</v>
      </c>
      <c r="O663" s="32"/>
      <c r="P663" s="33" t="str">
        <f t="array" ref="P663">IFERROR(
HYPERLINK(
"https://drive.google.com/file/d/"&amp;
XLOOKUP(O663,'Hoa-Don'!A:A,'Hoa-Don'!D:D)
&amp;"/view",
"🔎"
),
""
)</f>
        <v/>
      </c>
    </row>
    <row r="664" ht="22.5" customHeight="1">
      <c r="A664" s="21">
        <v>663.0</v>
      </c>
      <c r="B664" s="22">
        <v>43474.0</v>
      </c>
      <c r="C664" s="23">
        <v>160.0</v>
      </c>
      <c r="D664" s="24" t="s">
        <v>84</v>
      </c>
      <c r="E664" s="35" t="s">
        <v>18</v>
      </c>
      <c r="F664" s="26"/>
      <c r="G664" s="27" t="s">
        <v>38</v>
      </c>
      <c r="H664" s="28">
        <v>1210.0</v>
      </c>
      <c r="I664" s="28">
        <v>11727.27</v>
      </c>
      <c r="J664" s="29">
        <v>1.4189996700000001E7</v>
      </c>
      <c r="K664" s="29">
        <v>12807.951881567982</v>
      </c>
      <c r="L664" s="30">
        <v>17812.24000000001</v>
      </c>
      <c r="M664" s="29">
        <v>2.281383128229406E8</v>
      </c>
      <c r="N664" s="31" t="s">
        <v>763</v>
      </c>
      <c r="O664" s="32"/>
      <c r="P664" s="33" t="str">
        <f t="array" ref="P664">IFERROR(
HYPERLINK(
"https://drive.google.com/file/d/"&amp;
XLOOKUP(O664,'Hoa-Don'!A:A,'Hoa-Don'!D:D)
&amp;"/view",
"🔎"
),
""
)</f>
        <v/>
      </c>
    </row>
    <row r="665" ht="22.5" customHeight="1">
      <c r="A665" s="21">
        <v>664.0</v>
      </c>
      <c r="B665" s="22">
        <v>43476.0</v>
      </c>
      <c r="C665" s="23">
        <v>164.0</v>
      </c>
      <c r="D665" s="24" t="s">
        <v>84</v>
      </c>
      <c r="E665" s="35" t="s">
        <v>18</v>
      </c>
      <c r="F665" s="26"/>
      <c r="G665" s="27" t="s">
        <v>38</v>
      </c>
      <c r="H665" s="28">
        <v>1350.0</v>
      </c>
      <c r="I665" s="28">
        <v>11727.27</v>
      </c>
      <c r="J665" s="29">
        <v>1.58318145E7</v>
      </c>
      <c r="K665" s="29">
        <v>12731.81670425485</v>
      </c>
      <c r="L665" s="30">
        <v>19162.24000000001</v>
      </c>
      <c r="M665" s="29">
        <v>2.439701273229406E8</v>
      </c>
      <c r="N665" s="31" t="s">
        <v>764</v>
      </c>
      <c r="O665" s="32"/>
      <c r="P665" s="33" t="str">
        <f t="array" ref="P665">IFERROR(
HYPERLINK(
"https://drive.google.com/file/d/"&amp;
XLOOKUP(O665,'Hoa-Don'!A:A,'Hoa-Don'!D:D)
&amp;"/view",
"🔎"
),
""
)</f>
        <v/>
      </c>
    </row>
    <row r="666" ht="22.5" customHeight="1">
      <c r="A666" s="21">
        <v>665.0</v>
      </c>
      <c r="B666" s="22">
        <v>43483.0</v>
      </c>
      <c r="C666" s="23">
        <v>165.0</v>
      </c>
      <c r="D666" s="24" t="s">
        <v>725</v>
      </c>
      <c r="E666" s="35" t="s">
        <v>18</v>
      </c>
      <c r="F666" s="26"/>
      <c r="G666" s="27" t="s">
        <v>38</v>
      </c>
      <c r="H666" s="28">
        <v>2146.0</v>
      </c>
      <c r="I666" s="28">
        <v>11636.36</v>
      </c>
      <c r="J666" s="29">
        <v>2.4971628560000002E7</v>
      </c>
      <c r="K666" s="29">
        <v>12621.49083560822</v>
      </c>
      <c r="L666" s="30">
        <v>21308.24000000001</v>
      </c>
      <c r="M666" s="29">
        <v>2.689417558829406E8</v>
      </c>
      <c r="N666" s="31" t="s">
        <v>765</v>
      </c>
      <c r="O666" s="32"/>
      <c r="P666" s="33" t="str">
        <f t="array" ref="P666">IFERROR(
HYPERLINK(
"https://drive.google.com/file/d/"&amp;
XLOOKUP(O666,'Hoa-Don'!A:A,'Hoa-Don'!D:D)
&amp;"/view",
"🔎"
),
""
)</f>
        <v/>
      </c>
    </row>
    <row r="667" ht="22.5" customHeight="1">
      <c r="A667" s="21">
        <v>666.0</v>
      </c>
      <c r="B667" s="22">
        <v>43483.0</v>
      </c>
      <c r="C667" s="23">
        <v>165.0</v>
      </c>
      <c r="D667" s="24" t="s">
        <v>725</v>
      </c>
      <c r="E667" s="35" t="s">
        <v>18</v>
      </c>
      <c r="F667" s="26"/>
      <c r="G667" s="27" t="s">
        <v>38</v>
      </c>
      <c r="H667" s="28">
        <v>2592.0</v>
      </c>
      <c r="I667" s="28">
        <v>12727.27</v>
      </c>
      <c r="J667" s="29">
        <v>3.298908384E7</v>
      </c>
      <c r="K667" s="29">
        <v>12632.96266995396</v>
      </c>
      <c r="L667" s="30">
        <v>23900.24000000001</v>
      </c>
      <c r="M667" s="29">
        <v>3.0193083972294056E8</v>
      </c>
      <c r="N667" s="31" t="s">
        <v>766</v>
      </c>
      <c r="O667" s="32"/>
      <c r="P667" s="33" t="str">
        <f t="array" ref="P667">IFERROR(
HYPERLINK(
"https://drive.google.com/file/d/"&amp;
XLOOKUP(O667,'Hoa-Don'!A:A,'Hoa-Don'!D:D)
&amp;"/view",
"🔎"
),
""
)</f>
        <v/>
      </c>
    </row>
    <row r="668" ht="22.5" customHeight="1">
      <c r="A668" s="21">
        <v>667.0</v>
      </c>
      <c r="B668" s="22">
        <v>43483.0</v>
      </c>
      <c r="C668" s="23">
        <v>371.0</v>
      </c>
      <c r="D668" s="24" t="s">
        <v>402</v>
      </c>
      <c r="E668" s="35" t="s">
        <v>18</v>
      </c>
      <c r="F668" s="26"/>
      <c r="G668" s="27" t="s">
        <v>38</v>
      </c>
      <c r="H668" s="28">
        <v>7519.0</v>
      </c>
      <c r="I668" s="28">
        <v>12672.06</v>
      </c>
      <c r="J668" s="29">
        <v>9.528121914E7</v>
      </c>
      <c r="K668" s="29">
        <v>12642.319128754878</v>
      </c>
      <c r="L668" s="30">
        <v>31419.24000000001</v>
      </c>
      <c r="M668" s="29">
        <v>3.9721205886294055E8</v>
      </c>
      <c r="N668" s="31" t="s">
        <v>767</v>
      </c>
      <c r="O668" s="32"/>
      <c r="P668" s="33" t="str">
        <f t="array" ref="P668">IFERROR(
HYPERLINK(
"https://drive.google.com/file/d/"&amp;
XLOOKUP(O668,'Hoa-Don'!A:A,'Hoa-Don'!D:D)
&amp;"/view",
"🔎"
),
""
)</f>
        <v/>
      </c>
    </row>
    <row r="669" ht="22.5" customHeight="1">
      <c r="A669" s="21">
        <v>668.0</v>
      </c>
      <c r="B669" s="22">
        <v>43487.0</v>
      </c>
      <c r="C669" s="23">
        <v>329.0</v>
      </c>
      <c r="D669" s="24" t="s">
        <v>48</v>
      </c>
      <c r="E669" s="35" t="s">
        <v>18</v>
      </c>
      <c r="F669" s="26"/>
      <c r="G669" s="36" t="s">
        <v>42</v>
      </c>
      <c r="H669" s="28">
        <v>891.76</v>
      </c>
      <c r="I669" s="28">
        <v>12642.319128754878</v>
      </c>
      <c r="J669" s="29">
        <v>1.127391450625845E7</v>
      </c>
      <c r="K669" s="29">
        <v>12642.319128754878</v>
      </c>
      <c r="L669" s="30">
        <v>30527.48000000001</v>
      </c>
      <c r="M669" s="29">
        <v>3.859381443566821E8</v>
      </c>
      <c r="N669" s="31" t="s">
        <v>768</v>
      </c>
      <c r="O669" s="32"/>
      <c r="P669" s="33" t="str">
        <f t="array" ref="P669">IFERROR(
HYPERLINK(
"https://drive.google.com/file/d/"&amp;
XLOOKUP(O669,'Hoa-Don'!A:A,'Hoa-Don'!D:D)
&amp;"/view",
"🔎"
),
""
)</f>
        <v/>
      </c>
    </row>
    <row r="670" ht="22.5" customHeight="1">
      <c r="A670" s="21">
        <v>669.0</v>
      </c>
      <c r="B670" s="22">
        <v>43487.0</v>
      </c>
      <c r="C670" s="23">
        <v>329.0</v>
      </c>
      <c r="D670" s="24" t="s">
        <v>48</v>
      </c>
      <c r="E670" s="35" t="s">
        <v>18</v>
      </c>
      <c r="F670" s="26"/>
      <c r="G670" s="36" t="s">
        <v>42</v>
      </c>
      <c r="H670" s="28">
        <v>55.69</v>
      </c>
      <c r="I670" s="28">
        <v>12642.319128754878</v>
      </c>
      <c r="J670" s="29">
        <v>704050.7522803592</v>
      </c>
      <c r="K670" s="29">
        <v>12642.319128754878</v>
      </c>
      <c r="L670" s="30">
        <v>30471.79000000001</v>
      </c>
      <c r="M670" s="29">
        <v>3.8523409360440177E8</v>
      </c>
      <c r="N670" s="31" t="s">
        <v>769</v>
      </c>
      <c r="O670" s="32"/>
      <c r="P670" s="33" t="str">
        <f t="array" ref="P670">IFERROR(
HYPERLINK(
"https://drive.google.com/file/d/"&amp;
XLOOKUP(O670,'Hoa-Don'!A:A,'Hoa-Don'!D:D)
&amp;"/view",
"🔎"
),
""
)</f>
        <v/>
      </c>
    </row>
    <row r="671" ht="22.5" customHeight="1">
      <c r="A671" s="21">
        <v>670.0</v>
      </c>
      <c r="B671" s="22">
        <v>43487.0</v>
      </c>
      <c r="C671" s="23">
        <v>329.0</v>
      </c>
      <c r="D671" s="24" t="s">
        <v>48</v>
      </c>
      <c r="E671" s="35" t="s">
        <v>18</v>
      </c>
      <c r="F671" s="26"/>
      <c r="G671" s="36" t="s">
        <v>42</v>
      </c>
      <c r="H671" s="28">
        <v>0.81</v>
      </c>
      <c r="I671" s="28">
        <v>12642.319128754878</v>
      </c>
      <c r="J671" s="29">
        <v>10240.278494291451</v>
      </c>
      <c r="K671" s="29">
        <v>12642.319128754878</v>
      </c>
      <c r="L671" s="30">
        <v>30470.98000000001</v>
      </c>
      <c r="M671" s="29">
        <v>3.8522385332590747E8</v>
      </c>
      <c r="N671" s="31" t="s">
        <v>770</v>
      </c>
      <c r="O671" s="32"/>
      <c r="P671" s="33" t="str">
        <f t="array" ref="P671">IFERROR(
HYPERLINK(
"https://drive.google.com/file/d/"&amp;
XLOOKUP(O671,'Hoa-Don'!A:A,'Hoa-Don'!D:D)
&amp;"/view",
"🔎"
),
""
)</f>
        <v/>
      </c>
    </row>
    <row r="672" ht="22.5" customHeight="1">
      <c r="A672" s="21">
        <v>671.0</v>
      </c>
      <c r="B672" s="22">
        <v>43496.0</v>
      </c>
      <c r="C672" s="23">
        <v>330.0</v>
      </c>
      <c r="D672" s="24" t="s">
        <v>130</v>
      </c>
      <c r="E672" s="25" t="s">
        <v>11</v>
      </c>
      <c r="F672" s="26"/>
      <c r="G672" s="36" t="s">
        <v>42</v>
      </c>
      <c r="H672" s="28">
        <v>125.0</v>
      </c>
      <c r="I672" s="28">
        <v>14055.4016681685</v>
      </c>
      <c r="J672" s="29">
        <v>1756925.2085210625</v>
      </c>
      <c r="K672" s="29">
        <v>14055.4016681685</v>
      </c>
      <c r="L672" s="30">
        <v>17018.099999999984</v>
      </c>
      <c r="M672" s="29">
        <v>2.3919623112905812E8</v>
      </c>
      <c r="N672" s="31" t="s">
        <v>771</v>
      </c>
      <c r="O672" s="32"/>
      <c r="P672" s="33" t="str">
        <f t="array" ref="P672">IFERROR(
HYPERLINK(
"https://drive.google.com/file/d/"&amp;
XLOOKUP(O672,'Hoa-Don'!A:A,'Hoa-Don'!D:D)
&amp;"/view",
"🔎"
),
""
)</f>
        <v/>
      </c>
    </row>
    <row r="673" ht="22.5" customHeight="1">
      <c r="A673" s="21">
        <v>672.0</v>
      </c>
      <c r="B673" s="22">
        <v>43497.0</v>
      </c>
      <c r="C673" s="23">
        <v>331.0</v>
      </c>
      <c r="D673" s="24" t="s">
        <v>48</v>
      </c>
      <c r="E673" s="35" t="s">
        <v>18</v>
      </c>
      <c r="F673" s="26"/>
      <c r="G673" s="36" t="s">
        <v>42</v>
      </c>
      <c r="H673" s="28">
        <v>1000.0</v>
      </c>
      <c r="I673" s="28">
        <v>12642.319128754878</v>
      </c>
      <c r="J673" s="29">
        <v>1.2642319128754878E7</v>
      </c>
      <c r="K673" s="29">
        <v>12642.319128754878</v>
      </c>
      <c r="L673" s="30">
        <v>29470.98000000001</v>
      </c>
      <c r="M673" s="29">
        <v>3.7258153419715255E8</v>
      </c>
      <c r="N673" s="31" t="s">
        <v>772</v>
      </c>
      <c r="O673" s="32"/>
      <c r="P673" s="33" t="str">
        <f t="array" ref="P673">IFERROR(
HYPERLINK(
"https://drive.google.com/file/d/"&amp;
XLOOKUP(O673,'Hoa-Don'!A:A,'Hoa-Don'!D:D)
&amp;"/view",
"🔎"
),
""
)</f>
        <v/>
      </c>
    </row>
    <row r="674" ht="22.5" customHeight="1">
      <c r="A674" s="21">
        <v>673.0</v>
      </c>
      <c r="B674" s="22">
        <v>43498.0</v>
      </c>
      <c r="C674" s="23">
        <v>332.0</v>
      </c>
      <c r="D674" s="24" t="s">
        <v>48</v>
      </c>
      <c r="E674" s="35" t="s">
        <v>18</v>
      </c>
      <c r="F674" s="26"/>
      <c r="G674" s="36" t="s">
        <v>42</v>
      </c>
      <c r="H674" s="28">
        <v>601.4</v>
      </c>
      <c r="I674" s="28">
        <v>12642.319128754878</v>
      </c>
      <c r="J674" s="29">
        <v>7603090.724033183</v>
      </c>
      <c r="K674" s="29">
        <v>12642.319128754878</v>
      </c>
      <c r="L674" s="30">
        <v>28869.58000000001</v>
      </c>
      <c r="M674" s="29">
        <v>3.649784434731194E8</v>
      </c>
      <c r="N674" s="31" t="s">
        <v>773</v>
      </c>
      <c r="O674" s="32"/>
      <c r="P674" s="33" t="str">
        <f t="array" ref="P674">IFERROR(
HYPERLINK(
"https://drive.google.com/file/d/"&amp;
XLOOKUP(O674,'Hoa-Don'!A:A,'Hoa-Don'!D:D)
&amp;"/view",
"🔎"
),
""
)</f>
        <v/>
      </c>
    </row>
    <row r="675" ht="22.5" customHeight="1">
      <c r="A675" s="21">
        <v>674.0</v>
      </c>
      <c r="B675" s="22">
        <v>43498.0</v>
      </c>
      <c r="C675" s="23">
        <v>332.0</v>
      </c>
      <c r="D675" s="24" t="s">
        <v>48</v>
      </c>
      <c r="E675" s="35" t="s">
        <v>18</v>
      </c>
      <c r="F675" s="26"/>
      <c r="G675" s="36" t="s">
        <v>42</v>
      </c>
      <c r="H675" s="28">
        <v>70.65</v>
      </c>
      <c r="I675" s="28">
        <v>12642.319128754878</v>
      </c>
      <c r="J675" s="29">
        <v>893179.8464465322</v>
      </c>
      <c r="K675" s="29">
        <v>12642.319128754878</v>
      </c>
      <c r="L675" s="30">
        <v>28798.930000000008</v>
      </c>
      <c r="M675" s="29">
        <v>3.640852636266728E8</v>
      </c>
      <c r="N675" s="31" t="s">
        <v>774</v>
      </c>
      <c r="O675" s="32"/>
      <c r="P675" s="33" t="str">
        <f t="array" ref="P675">IFERROR(
HYPERLINK(
"https://drive.google.com/file/d/"&amp;
XLOOKUP(O675,'Hoa-Don'!A:A,'Hoa-Don'!D:D)
&amp;"/view",
"🔎"
),
""
)</f>
        <v/>
      </c>
    </row>
    <row r="676" ht="22.5" customHeight="1">
      <c r="A676" s="21">
        <v>675.0</v>
      </c>
      <c r="B676" s="22">
        <v>43498.0</v>
      </c>
      <c r="C676" s="23">
        <v>332.0</v>
      </c>
      <c r="D676" s="24" t="s">
        <v>48</v>
      </c>
      <c r="E676" s="35" t="s">
        <v>18</v>
      </c>
      <c r="F676" s="26"/>
      <c r="G676" s="36" t="s">
        <v>42</v>
      </c>
      <c r="H676" s="28">
        <v>80.01</v>
      </c>
      <c r="I676" s="28">
        <v>12642.319128754878</v>
      </c>
      <c r="J676" s="29">
        <v>1011511.9534916779</v>
      </c>
      <c r="K676" s="29">
        <v>12642.319128754878</v>
      </c>
      <c r="L676" s="30">
        <v>28718.92000000001</v>
      </c>
      <c r="M676" s="29">
        <v>3.630737516731812E8</v>
      </c>
      <c r="N676" s="31" t="s">
        <v>775</v>
      </c>
      <c r="O676" s="32"/>
      <c r="P676" s="33" t="str">
        <f t="array" ref="P676">IFERROR(
HYPERLINK(
"https://drive.google.com/file/d/"&amp;
XLOOKUP(O676,'Hoa-Don'!A:A,'Hoa-Don'!D:D)
&amp;"/view",
"🔎"
),
""
)</f>
        <v/>
      </c>
    </row>
    <row r="677" ht="22.5" customHeight="1">
      <c r="A677" s="21">
        <v>676.0</v>
      </c>
      <c r="B677" s="22">
        <v>43499.0</v>
      </c>
      <c r="C677" s="23">
        <v>333.0</v>
      </c>
      <c r="D677" s="24" t="s">
        <v>48</v>
      </c>
      <c r="E677" s="35" t="s">
        <v>18</v>
      </c>
      <c r="F677" s="26"/>
      <c r="G677" s="36" t="s">
        <v>42</v>
      </c>
      <c r="H677" s="28">
        <v>40.22</v>
      </c>
      <c r="I677" s="28">
        <v>12642.319128754878</v>
      </c>
      <c r="J677" s="29">
        <v>508474.0753585212</v>
      </c>
      <c r="K677" s="29">
        <v>12642.319128754878</v>
      </c>
      <c r="L677" s="30">
        <v>28678.700000000008</v>
      </c>
      <c r="M677" s="29">
        <v>3.625652775978226E8</v>
      </c>
      <c r="N677" s="31" t="s">
        <v>776</v>
      </c>
      <c r="O677" s="32"/>
      <c r="P677" s="33" t="str">
        <f t="array" ref="P677">IFERROR(
HYPERLINK(
"https://drive.google.com/file/d/"&amp;
XLOOKUP(O677,'Hoa-Don'!A:A,'Hoa-Don'!D:D)
&amp;"/view",
"🔎"
),
""
)</f>
        <v/>
      </c>
    </row>
    <row r="678" ht="22.5" customHeight="1">
      <c r="A678" s="21">
        <v>677.0</v>
      </c>
      <c r="B678" s="22">
        <v>43499.0</v>
      </c>
      <c r="C678" s="23">
        <v>333.0</v>
      </c>
      <c r="D678" s="24" t="s">
        <v>48</v>
      </c>
      <c r="E678" s="35" t="s">
        <v>18</v>
      </c>
      <c r="F678" s="26"/>
      <c r="G678" s="36" t="s">
        <v>42</v>
      </c>
      <c r="H678" s="28">
        <v>55.79</v>
      </c>
      <c r="I678" s="28">
        <v>12642.319128754878</v>
      </c>
      <c r="J678" s="29">
        <v>705314.9841932346</v>
      </c>
      <c r="K678" s="29">
        <v>12642.319128754878</v>
      </c>
      <c r="L678" s="30">
        <v>28622.910000000007</v>
      </c>
      <c r="M678" s="29">
        <v>3.618599626136294E8</v>
      </c>
      <c r="N678" s="31" t="s">
        <v>777</v>
      </c>
      <c r="O678" s="32"/>
      <c r="P678" s="33" t="str">
        <f t="array" ref="P678">IFERROR(
HYPERLINK(
"https://drive.google.com/file/d/"&amp;
XLOOKUP(O678,'Hoa-Don'!A:A,'Hoa-Don'!D:D)
&amp;"/view",
"🔎"
),
""
)</f>
        <v/>
      </c>
    </row>
    <row r="679" ht="22.5" customHeight="1">
      <c r="A679" s="21">
        <v>678.0</v>
      </c>
      <c r="B679" s="22">
        <v>43499.0</v>
      </c>
      <c r="C679" s="23">
        <v>333.0</v>
      </c>
      <c r="D679" s="24" t="s">
        <v>48</v>
      </c>
      <c r="E679" s="35" t="s">
        <v>18</v>
      </c>
      <c r="F679" s="26"/>
      <c r="G679" s="36" t="s">
        <v>42</v>
      </c>
      <c r="H679" s="28">
        <v>1.18</v>
      </c>
      <c r="I679" s="28">
        <v>12642.319128754878</v>
      </c>
      <c r="J679" s="29">
        <v>14917.936571930755</v>
      </c>
      <c r="K679" s="29">
        <v>12642.319128754878</v>
      </c>
      <c r="L679" s="30">
        <v>28621.730000000007</v>
      </c>
      <c r="M679" s="29">
        <v>3.6184504467705745E8</v>
      </c>
      <c r="N679" s="31" t="s">
        <v>778</v>
      </c>
      <c r="O679" s="32"/>
      <c r="P679" s="33" t="str">
        <f t="array" ref="P679">IFERROR(
HYPERLINK(
"https://drive.google.com/file/d/"&amp;
XLOOKUP(O679,'Hoa-Don'!A:A,'Hoa-Don'!D:D)
&amp;"/view",
"🔎"
),
""
)</f>
        <v/>
      </c>
    </row>
    <row r="680" ht="22.5" customHeight="1">
      <c r="A680" s="21">
        <v>679.0</v>
      </c>
      <c r="B680" s="22">
        <v>43499.0</v>
      </c>
      <c r="C680" s="23">
        <v>333.0</v>
      </c>
      <c r="D680" s="24" t="s">
        <v>48</v>
      </c>
      <c r="E680" s="35" t="s">
        <v>18</v>
      </c>
      <c r="F680" s="26"/>
      <c r="G680" s="36" t="s">
        <v>42</v>
      </c>
      <c r="H680" s="28">
        <v>6.91</v>
      </c>
      <c r="I680" s="28">
        <v>12642.319128754878</v>
      </c>
      <c r="J680" s="29">
        <v>87358.4251796962</v>
      </c>
      <c r="K680" s="29">
        <v>12642.319128754878</v>
      </c>
      <c r="L680" s="30">
        <v>28614.820000000007</v>
      </c>
      <c r="M680" s="29">
        <v>3.617576862518777E8</v>
      </c>
      <c r="N680" s="31" t="s">
        <v>779</v>
      </c>
      <c r="O680" s="32"/>
      <c r="P680" s="33" t="str">
        <f t="array" ref="P680">IFERROR(
HYPERLINK(
"https://drive.google.com/file/d/"&amp;
XLOOKUP(O680,'Hoa-Don'!A:A,'Hoa-Don'!D:D)
&amp;"/view",
"🔎"
),
""
)</f>
        <v/>
      </c>
    </row>
    <row r="681" ht="22.5" customHeight="1">
      <c r="A681" s="21">
        <v>680.0</v>
      </c>
      <c r="B681" s="22">
        <v>43499.0</v>
      </c>
      <c r="C681" s="23">
        <v>333.0</v>
      </c>
      <c r="D681" s="24" t="s">
        <v>48</v>
      </c>
      <c r="E681" s="35" t="s">
        <v>18</v>
      </c>
      <c r="F681" s="26"/>
      <c r="G681" s="36" t="s">
        <v>42</v>
      </c>
      <c r="H681" s="28">
        <v>322.63</v>
      </c>
      <c r="I681" s="28">
        <v>12642.319128754878</v>
      </c>
      <c r="J681" s="29">
        <v>4078791.4205101863</v>
      </c>
      <c r="K681" s="29">
        <v>12642.319128754878</v>
      </c>
      <c r="L681" s="30">
        <v>28292.190000000006</v>
      </c>
      <c r="M681" s="29">
        <v>3.5767889483136755E8</v>
      </c>
      <c r="N681" s="31" t="s">
        <v>780</v>
      </c>
      <c r="O681" s="32"/>
      <c r="P681" s="33" t="str">
        <f t="array" ref="P681">IFERROR(
HYPERLINK(
"https://drive.google.com/file/d/"&amp;
XLOOKUP(O681,'Hoa-Don'!A:A,'Hoa-Don'!D:D)
&amp;"/view",
"🔎"
),
""
)</f>
        <v/>
      </c>
    </row>
    <row r="682" ht="22.5" customHeight="1">
      <c r="A682" s="21">
        <v>681.0</v>
      </c>
      <c r="B682" s="22">
        <v>43500.0</v>
      </c>
      <c r="C682" s="23">
        <v>334.0</v>
      </c>
      <c r="D682" s="24" t="s">
        <v>48</v>
      </c>
      <c r="E682" s="25" t="s">
        <v>11</v>
      </c>
      <c r="F682" s="26"/>
      <c r="G682" s="36" t="s">
        <v>42</v>
      </c>
      <c r="H682" s="28">
        <v>85.4</v>
      </c>
      <c r="I682" s="28">
        <v>14055.4016681685</v>
      </c>
      <c r="J682" s="29">
        <v>1200331.3024615902</v>
      </c>
      <c r="K682" s="29">
        <v>14055.4016681685</v>
      </c>
      <c r="L682" s="30">
        <v>16932.699999999983</v>
      </c>
      <c r="M682" s="29">
        <v>2.3799589982659653E8</v>
      </c>
      <c r="N682" s="31" t="s">
        <v>781</v>
      </c>
      <c r="O682" s="32"/>
      <c r="P682" s="33" t="str">
        <f t="array" ref="P682">IFERROR(
HYPERLINK(
"https://drive.google.com/file/d/"&amp;
XLOOKUP(O682,'Hoa-Don'!A:A,'Hoa-Don'!D:D)
&amp;"/view",
"🔎"
),
""
)</f>
        <v/>
      </c>
    </row>
    <row r="683" ht="22.5" customHeight="1">
      <c r="A683" s="21">
        <v>682.0</v>
      </c>
      <c r="B683" s="22">
        <v>43500.0</v>
      </c>
      <c r="C683" s="23">
        <v>334.0</v>
      </c>
      <c r="D683" s="24" t="s">
        <v>48</v>
      </c>
      <c r="E683" s="35" t="s">
        <v>18</v>
      </c>
      <c r="F683" s="26"/>
      <c r="G683" s="36" t="s">
        <v>42</v>
      </c>
      <c r="H683" s="28">
        <v>78.5</v>
      </c>
      <c r="I683" s="28">
        <v>12642.319128754878</v>
      </c>
      <c r="J683" s="29">
        <v>992422.0516072579</v>
      </c>
      <c r="K683" s="29">
        <v>12642.319128754878</v>
      </c>
      <c r="L683" s="30">
        <v>28213.690000000006</v>
      </c>
      <c r="M683" s="29">
        <v>3.566864727797603E8</v>
      </c>
      <c r="N683" s="31" t="s">
        <v>782</v>
      </c>
      <c r="O683" s="32"/>
      <c r="P683" s="33" t="str">
        <f t="array" ref="P683">IFERROR(
HYPERLINK(
"https://drive.google.com/file/d/"&amp;
XLOOKUP(O683,'Hoa-Don'!A:A,'Hoa-Don'!D:D)
&amp;"/view",
"🔎"
),
""
)</f>
        <v/>
      </c>
    </row>
    <row r="684" ht="22.5" customHeight="1">
      <c r="A684" s="21">
        <v>683.0</v>
      </c>
      <c r="B684" s="22">
        <v>43500.0</v>
      </c>
      <c r="C684" s="23">
        <v>334.0</v>
      </c>
      <c r="D684" s="24" t="s">
        <v>48</v>
      </c>
      <c r="E684" s="35" t="s">
        <v>18</v>
      </c>
      <c r="F684" s="26"/>
      <c r="G684" s="36" t="s">
        <v>42</v>
      </c>
      <c r="H684" s="28">
        <v>47.1</v>
      </c>
      <c r="I684" s="28">
        <v>12642.319128754878</v>
      </c>
      <c r="J684" s="29">
        <v>595453.2309643548</v>
      </c>
      <c r="K684" s="29">
        <v>12642.319128754878</v>
      </c>
      <c r="L684" s="30">
        <v>28166.590000000007</v>
      </c>
      <c r="M684" s="29">
        <v>3.5609101954879594E8</v>
      </c>
      <c r="N684" s="31" t="s">
        <v>783</v>
      </c>
      <c r="O684" s="32"/>
      <c r="P684" s="33" t="str">
        <f t="array" ref="P684">IFERROR(
HYPERLINK(
"https://drive.google.com/file/d/"&amp;
XLOOKUP(O684,'Hoa-Don'!A:A,'Hoa-Don'!D:D)
&amp;"/view",
"🔎"
),
""
)</f>
        <v/>
      </c>
    </row>
    <row r="685" ht="22.5" customHeight="1">
      <c r="A685" s="21">
        <v>684.0</v>
      </c>
      <c r="B685" s="22">
        <v>43500.0</v>
      </c>
      <c r="C685" s="23">
        <v>334.0</v>
      </c>
      <c r="D685" s="24" t="s">
        <v>48</v>
      </c>
      <c r="E685" s="25" t="s">
        <v>11</v>
      </c>
      <c r="F685" s="26"/>
      <c r="G685" s="36" t="s">
        <v>42</v>
      </c>
      <c r="H685" s="28">
        <v>25.0</v>
      </c>
      <c r="I685" s="28">
        <v>14055.4016681685</v>
      </c>
      <c r="J685" s="29">
        <v>351385.0417042125</v>
      </c>
      <c r="K685" s="29">
        <v>14055.4016681685</v>
      </c>
      <c r="L685" s="30">
        <v>16907.699999999983</v>
      </c>
      <c r="M685" s="29">
        <v>2.3764451478489232E8</v>
      </c>
      <c r="N685" s="31" t="s">
        <v>784</v>
      </c>
      <c r="O685" s="32"/>
      <c r="P685" s="33" t="str">
        <f t="array" ref="P685">IFERROR(
HYPERLINK(
"https://drive.google.com/file/d/"&amp;
XLOOKUP(O685,'Hoa-Don'!A:A,'Hoa-Don'!D:D)
&amp;"/view",
"🔎"
),
""
)</f>
        <v/>
      </c>
    </row>
    <row r="686" ht="22.5" customHeight="1">
      <c r="A686" s="21">
        <v>685.0</v>
      </c>
      <c r="B686" s="22">
        <v>43511.0</v>
      </c>
      <c r="C686" s="23">
        <v>415.0</v>
      </c>
      <c r="D686" s="24" t="s">
        <v>393</v>
      </c>
      <c r="E686" s="25" t="s">
        <v>11</v>
      </c>
      <c r="F686" s="26"/>
      <c r="G686" s="27" t="s">
        <v>38</v>
      </c>
      <c r="H686" s="28">
        <v>7990.0</v>
      </c>
      <c r="I686" s="28">
        <v>13272.72</v>
      </c>
      <c r="J686" s="29">
        <v>1.060490328E8</v>
      </c>
      <c r="K686" s="29">
        <v>13804.228807676716</v>
      </c>
      <c r="L686" s="30">
        <v>24897.699999999983</v>
      </c>
      <c r="M686" s="29">
        <v>3.4369354758489233E8</v>
      </c>
      <c r="N686" s="31" t="s">
        <v>785</v>
      </c>
      <c r="O686" s="32"/>
      <c r="P686" s="33" t="str">
        <f t="array" ref="P686">IFERROR(
HYPERLINK(
"https://drive.google.com/file/d/"&amp;
XLOOKUP(O686,'Hoa-Don'!A:A,'Hoa-Don'!D:D)
&amp;"/view",
"🔎"
),
""
)</f>
        <v/>
      </c>
    </row>
    <row r="687" ht="22.5" customHeight="1">
      <c r="A687" s="21">
        <v>686.0</v>
      </c>
      <c r="B687" s="22">
        <v>43511.0</v>
      </c>
      <c r="C687" s="23">
        <v>335.0</v>
      </c>
      <c r="D687" s="24" t="s">
        <v>63</v>
      </c>
      <c r="E687" s="35" t="s">
        <v>18</v>
      </c>
      <c r="F687" s="26"/>
      <c r="G687" s="36" t="s">
        <v>42</v>
      </c>
      <c r="H687" s="28">
        <v>516.0</v>
      </c>
      <c r="I687" s="28">
        <v>12642.319128754878</v>
      </c>
      <c r="J687" s="29">
        <v>6523436.670437517</v>
      </c>
      <c r="K687" s="29">
        <v>12642.319128754878</v>
      </c>
      <c r="L687" s="30">
        <v>27650.590000000007</v>
      </c>
      <c r="M687" s="29">
        <v>3.495675828783584E8</v>
      </c>
      <c r="N687" s="31" t="s">
        <v>786</v>
      </c>
      <c r="O687" s="32"/>
      <c r="P687" s="33" t="str">
        <f t="array" ref="P687">IFERROR(
HYPERLINK(
"https://drive.google.com/file/d/"&amp;
XLOOKUP(O687,'Hoa-Don'!A:A,'Hoa-Don'!D:D)
&amp;"/view",
"🔎"
),
""
)</f>
        <v/>
      </c>
    </row>
    <row r="688" ht="22.5" customHeight="1">
      <c r="A688" s="21">
        <v>687.0</v>
      </c>
      <c r="B688" s="22">
        <v>43512.0</v>
      </c>
      <c r="C688" s="23">
        <v>336.0</v>
      </c>
      <c r="D688" s="24" t="s">
        <v>63</v>
      </c>
      <c r="E688" s="35" t="s">
        <v>18</v>
      </c>
      <c r="F688" s="26"/>
      <c r="G688" s="36" t="s">
        <v>42</v>
      </c>
      <c r="H688" s="28">
        <v>481.0</v>
      </c>
      <c r="I688" s="28">
        <v>12642.319128754878</v>
      </c>
      <c r="J688" s="29">
        <v>6080955.500931096</v>
      </c>
      <c r="K688" s="29">
        <v>12642.319128754878</v>
      </c>
      <c r="L688" s="30">
        <v>27169.590000000007</v>
      </c>
      <c r="M688" s="29">
        <v>3.4348662737742734E8</v>
      </c>
      <c r="N688" s="31" t="s">
        <v>787</v>
      </c>
      <c r="O688" s="32"/>
      <c r="P688" s="33" t="str">
        <f t="array" ref="P688">IFERROR(
HYPERLINK(
"https://drive.google.com/file/d/"&amp;
XLOOKUP(O688,'Hoa-Don'!A:A,'Hoa-Don'!D:D)
&amp;"/view",
"🔎"
),
""
)</f>
        <v/>
      </c>
    </row>
    <row r="689" ht="22.5" customHeight="1">
      <c r="A689" s="21">
        <v>688.0</v>
      </c>
      <c r="B689" s="22">
        <v>43531.0</v>
      </c>
      <c r="C689" s="23">
        <v>185.0</v>
      </c>
      <c r="D689" s="24" t="s">
        <v>725</v>
      </c>
      <c r="E689" s="35" t="s">
        <v>18</v>
      </c>
      <c r="F689" s="26"/>
      <c r="G689" s="27" t="s">
        <v>38</v>
      </c>
      <c r="H689" s="28">
        <v>5350.0</v>
      </c>
      <c r="I689" s="28">
        <v>11545.45</v>
      </c>
      <c r="J689" s="29">
        <v>6.176815750000001E7</v>
      </c>
      <c r="K689" s="29">
        <v>12461.866366624772</v>
      </c>
      <c r="L689" s="30">
        <v>32519.590000000007</v>
      </c>
      <c r="M689" s="29">
        <v>4.0525478487742734E8</v>
      </c>
      <c r="N689" s="31" t="s">
        <v>788</v>
      </c>
      <c r="O689" s="32"/>
      <c r="P689" s="33" t="str">
        <f t="array" ref="P689">IFERROR(
HYPERLINK(
"https://drive.google.com/file/d/"&amp;
XLOOKUP(O689,'Hoa-Don'!A:A,'Hoa-Don'!D:D)
&amp;"/view",
"🔎"
),
""
)</f>
        <v/>
      </c>
    </row>
    <row r="690" ht="22.5" customHeight="1">
      <c r="A690" s="21">
        <v>689.0</v>
      </c>
      <c r="B690" s="22">
        <v>43531.0</v>
      </c>
      <c r="C690" s="23">
        <v>2285.0</v>
      </c>
      <c r="D690" s="24" t="s">
        <v>253</v>
      </c>
      <c r="E690" s="25" t="s">
        <v>11</v>
      </c>
      <c r="F690" s="26"/>
      <c r="G690" s="27" t="s">
        <v>38</v>
      </c>
      <c r="H690" s="28">
        <v>2014.0</v>
      </c>
      <c r="I690" s="28">
        <v>15000.0</v>
      </c>
      <c r="J690" s="29">
        <v>3.021E7</v>
      </c>
      <c r="K690" s="29">
        <v>13893.717141053616</v>
      </c>
      <c r="L690" s="30">
        <v>26911.699999999983</v>
      </c>
      <c r="M690" s="29">
        <v>3.7390354758489233E8</v>
      </c>
      <c r="N690" s="31" t="s">
        <v>789</v>
      </c>
      <c r="O690" s="32"/>
      <c r="P690" s="33" t="str">
        <f t="array" ref="P690">IFERROR(
HYPERLINK(
"https://drive.google.com/file/d/"&amp;
XLOOKUP(O690,'Hoa-Don'!A:A,'Hoa-Don'!D:D)
&amp;"/view",
"🔎"
),
""
)</f>
        <v/>
      </c>
    </row>
    <row r="691" ht="22.5" customHeight="1">
      <c r="A691" s="21">
        <v>690.0</v>
      </c>
      <c r="B691" s="22">
        <v>43531.0</v>
      </c>
      <c r="C691" s="23">
        <v>2285.0</v>
      </c>
      <c r="D691" s="24" t="s">
        <v>253</v>
      </c>
      <c r="E691" s="25" t="s">
        <v>11</v>
      </c>
      <c r="F691" s="26"/>
      <c r="G691" s="27" t="s">
        <v>38</v>
      </c>
      <c r="H691" s="28">
        <v>2680.0</v>
      </c>
      <c r="I691" s="28">
        <v>14090.91</v>
      </c>
      <c r="J691" s="29">
        <v>3.77636388E7</v>
      </c>
      <c r="K691" s="29">
        <v>13911.576096841094</v>
      </c>
      <c r="L691" s="30">
        <v>29591.699999999983</v>
      </c>
      <c r="M691" s="29">
        <v>4.1166718638489234E8</v>
      </c>
      <c r="N691" s="31" t="s">
        <v>790</v>
      </c>
      <c r="O691" s="32"/>
      <c r="P691" s="33" t="str">
        <f t="array" ref="P691">IFERROR(
HYPERLINK(
"https://drive.google.com/file/d/"&amp;
XLOOKUP(O691,'Hoa-Don'!A:A,'Hoa-Don'!D:D)
&amp;"/view",
"🔎"
),
""
)</f>
        <v/>
      </c>
    </row>
    <row r="692" ht="22.5" customHeight="1">
      <c r="A692" s="21">
        <v>691.0</v>
      </c>
      <c r="B692" s="22">
        <v>43531.0</v>
      </c>
      <c r="C692" s="23">
        <v>2285.0</v>
      </c>
      <c r="D692" s="24" t="s">
        <v>253</v>
      </c>
      <c r="E692" s="35" t="s">
        <v>18</v>
      </c>
      <c r="F692" s="26"/>
      <c r="G692" s="27" t="s">
        <v>38</v>
      </c>
      <c r="H692" s="28">
        <v>2598.0</v>
      </c>
      <c r="I692" s="28">
        <v>13000.0</v>
      </c>
      <c r="J692" s="29">
        <v>3.3774E7</v>
      </c>
      <c r="K692" s="29">
        <v>12501.677503422849</v>
      </c>
      <c r="L692" s="30">
        <v>35117.59000000001</v>
      </c>
      <c r="M692" s="29">
        <v>4.3902878487742734E8</v>
      </c>
      <c r="N692" s="31" t="s">
        <v>791</v>
      </c>
      <c r="O692" s="32"/>
      <c r="P692" s="33" t="str">
        <f t="array" ref="P692">IFERROR(
HYPERLINK(
"https://drive.google.com/file/d/"&amp;
XLOOKUP(O692,'Hoa-Don'!A:A,'Hoa-Don'!D:D)
&amp;"/view",
"🔎"
),
""
)</f>
        <v/>
      </c>
    </row>
    <row r="693" ht="22.5" customHeight="1">
      <c r="A693" s="21">
        <v>692.0</v>
      </c>
      <c r="B693" s="22">
        <v>43536.0</v>
      </c>
      <c r="C693" s="23">
        <v>2302.0</v>
      </c>
      <c r="D693" s="24" t="s">
        <v>253</v>
      </c>
      <c r="E693" s="25" t="s">
        <v>11</v>
      </c>
      <c r="F693" s="26"/>
      <c r="G693" s="27" t="s">
        <v>38</v>
      </c>
      <c r="H693" s="28">
        <v>1334.0</v>
      </c>
      <c r="I693" s="28">
        <v>15000.0</v>
      </c>
      <c r="J693" s="29">
        <v>2.001E7</v>
      </c>
      <c r="K693" s="29">
        <v>13958.525963353864</v>
      </c>
      <c r="L693" s="30">
        <v>30925.699999999983</v>
      </c>
      <c r="M693" s="29">
        <v>4.3167718638489234E8</v>
      </c>
      <c r="N693" s="31" t="s">
        <v>792</v>
      </c>
      <c r="O693" s="32"/>
      <c r="P693" s="33" t="str">
        <f t="array" ref="P693">IFERROR(
HYPERLINK(
"https://drive.google.com/file/d/"&amp;
XLOOKUP(O693,'Hoa-Don'!A:A,'Hoa-Don'!D:D)
&amp;"/view",
"🔎"
),
""
)</f>
        <v/>
      </c>
    </row>
    <row r="694" ht="22.5" customHeight="1">
      <c r="A694" s="21">
        <v>693.0</v>
      </c>
      <c r="B694" s="22">
        <v>43552.0</v>
      </c>
      <c r="C694" s="23">
        <v>466.0</v>
      </c>
      <c r="D694" s="24" t="s">
        <v>402</v>
      </c>
      <c r="E694" s="35" t="s">
        <v>18</v>
      </c>
      <c r="F694" s="26"/>
      <c r="G694" s="27" t="s">
        <v>38</v>
      </c>
      <c r="H694" s="28">
        <v>37440.0</v>
      </c>
      <c r="I694" s="28">
        <v>11300.0</v>
      </c>
      <c r="J694" s="29">
        <v>4.23072E8</v>
      </c>
      <c r="K694" s="29">
        <v>11881.60721541919</v>
      </c>
      <c r="L694" s="30">
        <v>72557.59000000001</v>
      </c>
      <c r="M694" s="29">
        <v>8.621007848774273E8</v>
      </c>
      <c r="N694" s="31" t="s">
        <v>793</v>
      </c>
      <c r="O694" s="32"/>
      <c r="P694" s="33" t="str">
        <f t="array" ref="P694">IFERROR(
HYPERLINK(
"https://drive.google.com/file/d/"&amp;
XLOOKUP(O694,'Hoa-Don'!A:A,'Hoa-Don'!D:D)
&amp;"/view",
"🔎"
),
""
)</f>
        <v/>
      </c>
    </row>
    <row r="695" ht="22.5" customHeight="1">
      <c r="A695" s="21">
        <v>694.0</v>
      </c>
      <c r="B695" s="22">
        <v>43553.0</v>
      </c>
      <c r="C695" s="23">
        <v>568.0</v>
      </c>
      <c r="D695" s="24" t="s">
        <v>393</v>
      </c>
      <c r="E695" s="25" t="s">
        <v>11</v>
      </c>
      <c r="F695" s="26"/>
      <c r="G695" s="27" t="s">
        <v>38</v>
      </c>
      <c r="H695" s="28">
        <v>1385.0</v>
      </c>
      <c r="I695" s="28">
        <v>13545.45</v>
      </c>
      <c r="J695" s="29">
        <v>1.876044825E7</v>
      </c>
      <c r="K695" s="29">
        <v>13940.819438603701</v>
      </c>
      <c r="L695" s="30">
        <v>32310.699999999983</v>
      </c>
      <c r="M695" s="29">
        <v>4.5043763463489234E8</v>
      </c>
      <c r="N695" s="31" t="s">
        <v>794</v>
      </c>
      <c r="O695" s="32"/>
      <c r="P695" s="33" t="str">
        <f t="array" ref="P695">IFERROR(
HYPERLINK(
"https://drive.google.com/file/d/"&amp;
XLOOKUP(O695,'Hoa-Don'!A:A,'Hoa-Don'!D:D)
&amp;"/view",
"🔎"
),
""
)</f>
        <v/>
      </c>
    </row>
    <row r="696" ht="22.5" customHeight="1">
      <c r="A696" s="21">
        <v>695.0</v>
      </c>
      <c r="B696" s="22">
        <v>43555.0</v>
      </c>
      <c r="C696" s="23">
        <v>337.0</v>
      </c>
      <c r="D696" s="24" t="s">
        <v>130</v>
      </c>
      <c r="E696" s="35" t="s">
        <v>18</v>
      </c>
      <c r="F696" s="26"/>
      <c r="G696" s="36" t="s">
        <v>42</v>
      </c>
      <c r="H696" s="28">
        <v>100.0</v>
      </c>
      <c r="I696" s="28">
        <v>11881.60721541919</v>
      </c>
      <c r="J696" s="29">
        <v>1188160.721541919</v>
      </c>
      <c r="K696" s="29">
        <v>11881.60721541919</v>
      </c>
      <c r="L696" s="30">
        <v>72457.59000000001</v>
      </c>
      <c r="M696" s="29">
        <v>8.609126241558855E8</v>
      </c>
      <c r="N696" s="31" t="s">
        <v>795</v>
      </c>
      <c r="O696" s="32"/>
      <c r="P696" s="33" t="str">
        <f t="array" ref="P696">IFERROR(
HYPERLINK(
"https://drive.google.com/file/d/"&amp;
XLOOKUP(O696,'Hoa-Don'!A:A,'Hoa-Don'!D:D)
&amp;"/view",
"🔎"
),
""
)</f>
        <v/>
      </c>
    </row>
    <row r="697" ht="22.5" customHeight="1">
      <c r="A697" s="21">
        <v>696.0</v>
      </c>
      <c r="B697" s="22">
        <v>43564.0</v>
      </c>
      <c r="C697" s="23">
        <v>603.0</v>
      </c>
      <c r="D697" s="24" t="s">
        <v>393</v>
      </c>
      <c r="E697" s="25" t="s">
        <v>11</v>
      </c>
      <c r="F697" s="26"/>
      <c r="G697" s="27" t="s">
        <v>38</v>
      </c>
      <c r="H697" s="28">
        <v>986.0</v>
      </c>
      <c r="I697" s="28">
        <v>13454.54</v>
      </c>
      <c r="J697" s="29">
        <v>1.3266176440000001E7</v>
      </c>
      <c r="K697" s="29">
        <v>13926.419467241276</v>
      </c>
      <c r="L697" s="30">
        <v>33296.69999999998</v>
      </c>
      <c r="M697" s="29">
        <v>4.6370381107489234E8</v>
      </c>
      <c r="N697" s="31" t="s">
        <v>796</v>
      </c>
      <c r="O697" s="32"/>
      <c r="P697" s="33" t="str">
        <f t="array" ref="P697">IFERROR(
HYPERLINK(
"https://drive.google.com/file/d/"&amp;
XLOOKUP(O697,'Hoa-Don'!A:A,'Hoa-Don'!D:D)
&amp;"/view",
"🔎"
),
""
)</f>
        <v/>
      </c>
    </row>
    <row r="698" ht="22.5" customHeight="1">
      <c r="A698" s="21">
        <v>697.0</v>
      </c>
      <c r="B698" s="22">
        <v>43596.0</v>
      </c>
      <c r="C698" s="23">
        <v>339.0</v>
      </c>
      <c r="D698" s="24" t="s">
        <v>115</v>
      </c>
      <c r="E698" s="35" t="s">
        <v>18</v>
      </c>
      <c r="F698" s="26"/>
      <c r="G698" s="36" t="s">
        <v>42</v>
      </c>
      <c r="H698" s="28">
        <v>363.0</v>
      </c>
      <c r="I698" s="28">
        <v>11881.60721541919</v>
      </c>
      <c r="J698" s="29">
        <v>4313023.419197166</v>
      </c>
      <c r="K698" s="29">
        <v>11881.60721541919</v>
      </c>
      <c r="L698" s="30">
        <v>72094.59000000001</v>
      </c>
      <c r="M698" s="29">
        <v>8.565996007366883E8</v>
      </c>
      <c r="N698" s="31" t="s">
        <v>797</v>
      </c>
      <c r="O698" s="32"/>
      <c r="P698" s="33" t="str">
        <f t="array" ref="P698">IFERROR(
HYPERLINK(
"https://drive.google.com/file/d/"&amp;
XLOOKUP(O698,'Hoa-Don'!A:A,'Hoa-Don'!D:D)
&amp;"/view",
"🔎"
),
""
)</f>
        <v/>
      </c>
    </row>
    <row r="699" ht="22.5" customHeight="1">
      <c r="A699" s="21">
        <v>698.0</v>
      </c>
      <c r="B699" s="22">
        <v>43596.0</v>
      </c>
      <c r="C699" s="23">
        <v>340.0</v>
      </c>
      <c r="D699" s="24" t="s">
        <v>63</v>
      </c>
      <c r="E699" s="35" t="s">
        <v>18</v>
      </c>
      <c r="F699" s="26"/>
      <c r="G699" s="36" t="s">
        <v>42</v>
      </c>
      <c r="H699" s="28">
        <v>463.2</v>
      </c>
      <c r="I699" s="28">
        <v>11881.60721541919</v>
      </c>
      <c r="J699" s="29">
        <v>5503560.462182169</v>
      </c>
      <c r="K699" s="29">
        <v>11881.60721541919</v>
      </c>
      <c r="L699" s="30">
        <v>71631.39000000001</v>
      </c>
      <c r="M699" s="29">
        <v>8.510960402745062E8</v>
      </c>
      <c r="N699" s="31" t="s">
        <v>798</v>
      </c>
      <c r="O699" s="32"/>
      <c r="P699" s="33" t="str">
        <f t="array" ref="P699">IFERROR(
HYPERLINK(
"https://drive.google.com/file/d/"&amp;
XLOOKUP(O699,'Hoa-Don'!A:A,'Hoa-Don'!D:D)
&amp;"/view",
"🔎"
),
""
)</f>
        <v/>
      </c>
    </row>
    <row r="700" ht="22.5" customHeight="1">
      <c r="A700" s="21">
        <v>699.0</v>
      </c>
      <c r="B700" s="22">
        <v>43605.0</v>
      </c>
      <c r="C700" s="23">
        <v>341.0</v>
      </c>
      <c r="D700" s="24" t="s">
        <v>460</v>
      </c>
      <c r="E700" s="35" t="s">
        <v>18</v>
      </c>
      <c r="F700" s="26"/>
      <c r="G700" s="36" t="s">
        <v>42</v>
      </c>
      <c r="H700" s="28">
        <v>5205.0</v>
      </c>
      <c r="I700" s="28">
        <v>11881.60721541919</v>
      </c>
      <c r="J700" s="29">
        <v>6.184376555625688E7</v>
      </c>
      <c r="K700" s="29">
        <v>11881.60721541919</v>
      </c>
      <c r="L700" s="30">
        <v>66426.39000000001</v>
      </c>
      <c r="M700" s="29">
        <v>7.892522747182493E8</v>
      </c>
      <c r="N700" s="31" t="s">
        <v>799</v>
      </c>
      <c r="O700" s="32"/>
      <c r="P700" s="33" t="str">
        <f t="array" ref="P700">IFERROR(
HYPERLINK(
"https://drive.google.com/file/d/"&amp;
XLOOKUP(O700,'Hoa-Don'!A:A,'Hoa-Don'!D:D)
&amp;"/view",
"🔎"
),
""
)</f>
        <v/>
      </c>
    </row>
    <row r="701" ht="22.5" customHeight="1">
      <c r="A701" s="21">
        <v>700.0</v>
      </c>
      <c r="B701" s="22">
        <v>43606.0</v>
      </c>
      <c r="C701" s="23">
        <v>342.0</v>
      </c>
      <c r="D701" s="24" t="s">
        <v>93</v>
      </c>
      <c r="E701" s="25" t="s">
        <v>11</v>
      </c>
      <c r="F701" s="26"/>
      <c r="G701" s="36" t="s">
        <v>42</v>
      </c>
      <c r="H701" s="28">
        <v>4390.0</v>
      </c>
      <c r="I701" s="28">
        <v>13926.419467241276</v>
      </c>
      <c r="J701" s="29">
        <v>6.11369814611892E7</v>
      </c>
      <c r="K701" s="29">
        <v>13926.419467241276</v>
      </c>
      <c r="L701" s="30">
        <v>28906.699999999983</v>
      </c>
      <c r="M701" s="29">
        <v>4.0256682961370313E8</v>
      </c>
      <c r="N701" s="31" t="s">
        <v>800</v>
      </c>
      <c r="O701" s="32"/>
      <c r="P701" s="33" t="str">
        <f t="array" ref="P701">IFERROR(
HYPERLINK(
"https://drive.google.com/file/d/"&amp;
XLOOKUP(O701,'Hoa-Don'!A:A,'Hoa-Don'!D:D)
&amp;"/view",
"🔎"
),
""
)</f>
        <v/>
      </c>
    </row>
    <row r="702" ht="22.5" customHeight="1">
      <c r="A702" s="21">
        <v>701.0</v>
      </c>
      <c r="B702" s="22">
        <v>43606.0</v>
      </c>
      <c r="C702" s="23">
        <v>342.0</v>
      </c>
      <c r="D702" s="24" t="s">
        <v>93</v>
      </c>
      <c r="E702" s="35" t="s">
        <v>18</v>
      </c>
      <c r="F702" s="26"/>
      <c r="G702" s="36" t="s">
        <v>42</v>
      </c>
      <c r="H702" s="28">
        <v>3274.0</v>
      </c>
      <c r="I702" s="28">
        <v>11881.60721541919</v>
      </c>
      <c r="J702" s="29">
        <v>3.890038202328242E7</v>
      </c>
      <c r="K702" s="29">
        <v>11881.60721541919</v>
      </c>
      <c r="L702" s="30">
        <v>63152.390000000014</v>
      </c>
      <c r="M702" s="29">
        <v>7.503518926949668E8</v>
      </c>
      <c r="N702" s="31" t="s">
        <v>801</v>
      </c>
      <c r="O702" s="32"/>
      <c r="P702" s="33" t="str">
        <f t="array" ref="P702">IFERROR(
HYPERLINK(
"https://drive.google.com/file/d/"&amp;
XLOOKUP(O702,'Hoa-Don'!A:A,'Hoa-Don'!D:D)
&amp;"/view",
"🔎"
),
""
)</f>
        <v/>
      </c>
    </row>
    <row r="703" ht="22.5" customHeight="1">
      <c r="A703" s="21">
        <v>702.0</v>
      </c>
      <c r="B703" s="22">
        <v>43607.0</v>
      </c>
      <c r="C703" s="23">
        <v>343.0</v>
      </c>
      <c r="D703" s="24" t="s">
        <v>48</v>
      </c>
      <c r="E703" s="35" t="s">
        <v>18</v>
      </c>
      <c r="F703" s="26"/>
      <c r="G703" s="36" t="s">
        <v>42</v>
      </c>
      <c r="H703" s="28">
        <v>52.0</v>
      </c>
      <c r="I703" s="28">
        <v>11881.60721541919</v>
      </c>
      <c r="J703" s="29">
        <v>617843.5752017979</v>
      </c>
      <c r="K703" s="29">
        <v>11881.60721541919</v>
      </c>
      <c r="L703" s="30">
        <v>63100.390000000014</v>
      </c>
      <c r="M703" s="29">
        <v>7.49734049119765E8</v>
      </c>
      <c r="N703" s="31" t="s">
        <v>802</v>
      </c>
      <c r="O703" s="32"/>
      <c r="P703" s="33" t="str">
        <f t="array" ref="P703">IFERROR(
HYPERLINK(
"https://drive.google.com/file/d/"&amp;
XLOOKUP(O703,'Hoa-Don'!A:A,'Hoa-Don'!D:D)
&amp;"/view",
"🔎"
),
""
)</f>
        <v/>
      </c>
    </row>
    <row r="704" ht="22.5" customHeight="1">
      <c r="A704" s="21">
        <v>703.0</v>
      </c>
      <c r="B704" s="22">
        <v>43607.0</v>
      </c>
      <c r="C704" s="23">
        <v>343.0</v>
      </c>
      <c r="D704" s="24" t="s">
        <v>48</v>
      </c>
      <c r="E704" s="35" t="s">
        <v>18</v>
      </c>
      <c r="F704" s="26"/>
      <c r="G704" s="36" t="s">
        <v>42</v>
      </c>
      <c r="H704" s="28">
        <v>125.0</v>
      </c>
      <c r="I704" s="28">
        <v>11881.60721541919</v>
      </c>
      <c r="J704" s="29">
        <v>1485200.9019273988</v>
      </c>
      <c r="K704" s="29">
        <v>11881.60721541919</v>
      </c>
      <c r="L704" s="30">
        <v>62975.390000000014</v>
      </c>
      <c r="M704" s="29">
        <v>7.482488482178377E8</v>
      </c>
      <c r="N704" s="31" t="s">
        <v>803</v>
      </c>
      <c r="O704" s="32"/>
      <c r="P704" s="33" t="str">
        <f t="array" ref="P704">IFERROR(
HYPERLINK(
"https://drive.google.com/file/d/"&amp;
XLOOKUP(O704,'Hoa-Don'!A:A,'Hoa-Don'!D:D)
&amp;"/view",
"🔎"
),
""
)</f>
        <v/>
      </c>
    </row>
    <row r="705" ht="22.5" customHeight="1">
      <c r="A705" s="21">
        <v>704.0</v>
      </c>
      <c r="B705" s="22">
        <v>43608.0</v>
      </c>
      <c r="C705" s="23">
        <v>344.0</v>
      </c>
      <c r="D705" s="24" t="s">
        <v>48</v>
      </c>
      <c r="E705" s="35" t="s">
        <v>18</v>
      </c>
      <c r="F705" s="26"/>
      <c r="G705" s="36" t="s">
        <v>42</v>
      </c>
      <c r="H705" s="28">
        <v>118.0</v>
      </c>
      <c r="I705" s="28">
        <v>11881.60721541919</v>
      </c>
      <c r="J705" s="29">
        <v>1402029.6514194645</v>
      </c>
      <c r="K705" s="29">
        <v>11881.60721541919</v>
      </c>
      <c r="L705" s="30">
        <v>62857.390000000014</v>
      </c>
      <c r="M705" s="29">
        <v>7.468468185664182E8</v>
      </c>
      <c r="N705" s="31" t="s">
        <v>804</v>
      </c>
      <c r="O705" s="32"/>
      <c r="P705" s="33" t="str">
        <f t="array" ref="P705">IFERROR(
HYPERLINK(
"https://drive.google.com/file/d/"&amp;
XLOOKUP(O705,'Hoa-Don'!A:A,'Hoa-Don'!D:D)
&amp;"/view",
"🔎"
),
""
)</f>
        <v/>
      </c>
    </row>
    <row r="706" ht="22.5" customHeight="1">
      <c r="A706" s="21">
        <v>705.0</v>
      </c>
      <c r="B706" s="22">
        <v>43611.0</v>
      </c>
      <c r="C706" s="23">
        <v>345.0</v>
      </c>
      <c r="D706" s="24" t="s">
        <v>130</v>
      </c>
      <c r="E706" s="35" t="s">
        <v>18</v>
      </c>
      <c r="F706" s="26"/>
      <c r="G706" s="36" t="s">
        <v>42</v>
      </c>
      <c r="H706" s="28">
        <v>86.0</v>
      </c>
      <c r="I706" s="28">
        <v>11881.60721541919</v>
      </c>
      <c r="J706" s="29">
        <v>1021818.2205260503</v>
      </c>
      <c r="K706" s="29">
        <v>11881.60721541919</v>
      </c>
      <c r="L706" s="30">
        <v>62771.390000000014</v>
      </c>
      <c r="M706" s="29">
        <v>7.458250003458922E8</v>
      </c>
      <c r="N706" s="31" t="s">
        <v>805</v>
      </c>
      <c r="O706" s="32"/>
      <c r="P706" s="33" t="str">
        <f t="array" ref="P706">IFERROR(
HYPERLINK(
"https://drive.google.com/file/d/"&amp;
XLOOKUP(O706,'Hoa-Don'!A:A,'Hoa-Don'!D:D)
&amp;"/view",
"🔎"
),
""
)</f>
        <v/>
      </c>
    </row>
    <row r="707" ht="22.5" customHeight="1">
      <c r="A707" s="21">
        <v>706.0</v>
      </c>
      <c r="B707" s="22">
        <v>43617.0</v>
      </c>
      <c r="C707" s="23">
        <v>346.0</v>
      </c>
      <c r="D707" s="24" t="s">
        <v>48</v>
      </c>
      <c r="E707" s="35" t="s">
        <v>18</v>
      </c>
      <c r="F707" s="26"/>
      <c r="G707" s="36" t="s">
        <v>42</v>
      </c>
      <c r="H707" s="28">
        <v>60.0</v>
      </c>
      <c r="I707" s="28">
        <v>11881.60721541919</v>
      </c>
      <c r="J707" s="29">
        <v>712896.4329251514</v>
      </c>
      <c r="K707" s="29">
        <v>11881.60721541919</v>
      </c>
      <c r="L707" s="30">
        <v>62711.390000000014</v>
      </c>
      <c r="M707" s="29">
        <v>7.45112103912967E8</v>
      </c>
      <c r="N707" s="31" t="s">
        <v>806</v>
      </c>
      <c r="O707" s="32"/>
      <c r="P707" s="33" t="str">
        <f t="array" ref="P707">IFERROR(
HYPERLINK(
"https://drive.google.com/file/d/"&amp;
XLOOKUP(O707,'Hoa-Don'!A:A,'Hoa-Don'!D:D)
&amp;"/view",
"🔎"
),
""
)</f>
        <v/>
      </c>
    </row>
    <row r="708" ht="22.5" customHeight="1">
      <c r="A708" s="21">
        <v>707.0</v>
      </c>
      <c r="B708" s="22">
        <v>43617.0</v>
      </c>
      <c r="C708" s="23">
        <v>346.0</v>
      </c>
      <c r="D708" s="24" t="s">
        <v>48</v>
      </c>
      <c r="E708" s="25" t="s">
        <v>11</v>
      </c>
      <c r="F708" s="26"/>
      <c r="G708" s="36" t="s">
        <v>42</v>
      </c>
      <c r="H708" s="28">
        <v>70.0</v>
      </c>
      <c r="I708" s="28">
        <v>13926.419467241276</v>
      </c>
      <c r="J708" s="29">
        <v>974849.3627068893</v>
      </c>
      <c r="K708" s="29">
        <v>13926.419467241276</v>
      </c>
      <c r="L708" s="30">
        <v>28836.699999999983</v>
      </c>
      <c r="M708" s="29">
        <v>4.0159198025099623E8</v>
      </c>
      <c r="N708" s="31" t="s">
        <v>807</v>
      </c>
      <c r="O708" s="32"/>
      <c r="P708" s="33" t="str">
        <f t="array" ref="P708">IFERROR(
HYPERLINK(
"https://drive.google.com/file/d/"&amp;
XLOOKUP(O708,'Hoa-Don'!A:A,'Hoa-Don'!D:D)
&amp;"/view",
"🔎"
),
""
)</f>
        <v/>
      </c>
    </row>
    <row r="709" ht="22.5" customHeight="1">
      <c r="A709" s="21">
        <v>708.0</v>
      </c>
      <c r="B709" s="22">
        <v>43646.0</v>
      </c>
      <c r="C709" s="23">
        <v>347.0</v>
      </c>
      <c r="D709" s="24" t="s">
        <v>130</v>
      </c>
      <c r="E709" s="35" t="s">
        <v>18</v>
      </c>
      <c r="F709" s="26"/>
      <c r="G709" s="36" t="s">
        <v>42</v>
      </c>
      <c r="H709" s="28">
        <v>73.0</v>
      </c>
      <c r="I709" s="28">
        <v>11881.60721541919</v>
      </c>
      <c r="J709" s="29">
        <v>867357.3267256009</v>
      </c>
      <c r="K709" s="29">
        <v>11881.60721541919</v>
      </c>
      <c r="L709" s="30">
        <v>62638.390000000014</v>
      </c>
      <c r="M709" s="29">
        <v>7.442447465862414E8</v>
      </c>
      <c r="N709" s="31" t="s">
        <v>808</v>
      </c>
      <c r="O709" s="32"/>
      <c r="P709" s="33" t="str">
        <f t="array" ref="P709">IFERROR(
HYPERLINK(
"https://drive.google.com/file/d/"&amp;
XLOOKUP(O709,'Hoa-Don'!A:A,'Hoa-Don'!D:D)
&amp;"/view",
"🔎"
),
""
)</f>
        <v/>
      </c>
    </row>
    <row r="710" ht="22.5" customHeight="1">
      <c r="A710" s="21">
        <v>709.0</v>
      </c>
      <c r="B710" s="22">
        <v>43658.0</v>
      </c>
      <c r="C710" s="23">
        <v>348.0</v>
      </c>
      <c r="D710" s="24" t="s">
        <v>93</v>
      </c>
      <c r="E710" s="38" t="s">
        <v>22</v>
      </c>
      <c r="F710" s="26"/>
      <c r="G710" s="36" t="s">
        <v>42</v>
      </c>
      <c r="H710" s="28">
        <v>8022.0</v>
      </c>
      <c r="I710" s="28">
        <v>16727.0</v>
      </c>
      <c r="J710" s="29">
        <v>1.34183994E8</v>
      </c>
      <c r="K710" s="29">
        <v>16727.0</v>
      </c>
      <c r="L710" s="30">
        <v>2852.0</v>
      </c>
      <c r="M710" s="29">
        <v>4.7705404E7</v>
      </c>
      <c r="N710" s="31" t="s">
        <v>809</v>
      </c>
      <c r="O710" s="32"/>
      <c r="P710" s="33" t="str">
        <f t="array" ref="P710">IFERROR(
HYPERLINK(
"https://drive.google.com/file/d/"&amp;
XLOOKUP(O710,'Hoa-Don'!A:A,'Hoa-Don'!D:D)
&amp;"/view",
"🔎"
),
""
)</f>
        <v/>
      </c>
    </row>
    <row r="711" ht="22.5" customHeight="1">
      <c r="A711" s="21">
        <v>710.0</v>
      </c>
      <c r="B711" s="22">
        <v>43659.0</v>
      </c>
      <c r="C711" s="23">
        <v>349.0</v>
      </c>
      <c r="D711" s="24" t="s">
        <v>93</v>
      </c>
      <c r="E711" s="35" t="s">
        <v>18</v>
      </c>
      <c r="F711" s="26"/>
      <c r="G711" s="36" t="s">
        <v>42</v>
      </c>
      <c r="H711" s="28">
        <v>6000.0</v>
      </c>
      <c r="I711" s="28">
        <v>11881.60721541919</v>
      </c>
      <c r="J711" s="29">
        <v>7.128964329251514E7</v>
      </c>
      <c r="K711" s="29">
        <v>11881.60721541919</v>
      </c>
      <c r="L711" s="30">
        <v>56638.390000000014</v>
      </c>
      <c r="M711" s="29">
        <v>6.729551032937262E8</v>
      </c>
      <c r="N711" s="31" t="s">
        <v>810</v>
      </c>
      <c r="O711" s="32"/>
      <c r="P711" s="33" t="str">
        <f t="array" ref="P711">IFERROR(
HYPERLINK(
"https://drive.google.com/file/d/"&amp;
XLOOKUP(O711,'Hoa-Don'!A:A,'Hoa-Don'!D:D)
&amp;"/view",
"🔎"
),
""
)</f>
        <v/>
      </c>
    </row>
    <row r="712" ht="22.5" customHeight="1">
      <c r="A712" s="21">
        <v>711.0</v>
      </c>
      <c r="B712" s="22">
        <v>43659.0</v>
      </c>
      <c r="C712" s="23">
        <v>349.0</v>
      </c>
      <c r="D712" s="24" t="s">
        <v>93</v>
      </c>
      <c r="E712" s="25" t="s">
        <v>11</v>
      </c>
      <c r="F712" s="26"/>
      <c r="G712" s="36" t="s">
        <v>42</v>
      </c>
      <c r="H712" s="28">
        <v>2788.0</v>
      </c>
      <c r="I712" s="28">
        <v>13926.419467241276</v>
      </c>
      <c r="J712" s="29">
        <v>3.8826857474668674E7</v>
      </c>
      <c r="K712" s="29">
        <v>13926.419467241276</v>
      </c>
      <c r="L712" s="30">
        <v>26048.699999999983</v>
      </c>
      <c r="M712" s="29">
        <v>3.627651227763276E8</v>
      </c>
      <c r="N712" s="31" t="s">
        <v>811</v>
      </c>
      <c r="O712" s="32"/>
      <c r="P712" s="33" t="str">
        <f t="array" ref="P712">IFERROR(
HYPERLINK(
"https://drive.google.com/file/d/"&amp;
XLOOKUP(O712,'Hoa-Don'!A:A,'Hoa-Don'!D:D)
&amp;"/view",
"🔎"
),
""
)</f>
        <v/>
      </c>
    </row>
    <row r="713" ht="22.5" customHeight="1">
      <c r="A713" s="21">
        <v>712.0</v>
      </c>
      <c r="B713" s="22">
        <v>43673.0</v>
      </c>
      <c r="C713" s="23">
        <v>519.0</v>
      </c>
      <c r="D713" s="24" t="s">
        <v>253</v>
      </c>
      <c r="E713" s="35" t="s">
        <v>18</v>
      </c>
      <c r="F713" s="26"/>
      <c r="G713" s="27" t="s">
        <v>38</v>
      </c>
      <c r="H713" s="28">
        <v>4428.0</v>
      </c>
      <c r="I713" s="28">
        <v>12545.45</v>
      </c>
      <c r="J713" s="29">
        <v>5.55512526E7</v>
      </c>
      <c r="K713" s="29">
        <v>11929.74328257698</v>
      </c>
      <c r="L713" s="30">
        <v>61066.390000000014</v>
      </c>
      <c r="M713" s="29">
        <v>7.285063558937262E8</v>
      </c>
      <c r="N713" s="31" t="s">
        <v>812</v>
      </c>
      <c r="O713" s="32"/>
      <c r="P713" s="33" t="str">
        <f t="array" ref="P713">IFERROR(
HYPERLINK(
"https://drive.google.com/file/d/"&amp;
XLOOKUP(O713,'Hoa-Don'!A:A,'Hoa-Don'!D:D)
&amp;"/view",
"🔎"
),
""
)</f>
        <v/>
      </c>
    </row>
    <row r="714" ht="22.5" customHeight="1">
      <c r="A714" s="21">
        <v>713.0</v>
      </c>
      <c r="B714" s="22">
        <v>43673.0</v>
      </c>
      <c r="C714" s="23">
        <v>519.0</v>
      </c>
      <c r="D714" s="24" t="s">
        <v>253</v>
      </c>
      <c r="E714" s="35" t="s">
        <v>18</v>
      </c>
      <c r="F714" s="26"/>
      <c r="G714" s="27" t="s">
        <v>38</v>
      </c>
      <c r="H714" s="28">
        <v>3203.0</v>
      </c>
      <c r="I714" s="28">
        <v>12545.45</v>
      </c>
      <c r="J714" s="29">
        <v>4.018307635E7</v>
      </c>
      <c r="K714" s="29">
        <v>11960.428319667046</v>
      </c>
      <c r="L714" s="30">
        <v>64269.390000000014</v>
      </c>
      <c r="M714" s="29">
        <v>7.686894322437263E8</v>
      </c>
      <c r="N714" s="31" t="s">
        <v>813</v>
      </c>
      <c r="O714" s="32"/>
      <c r="P714" s="33" t="str">
        <f t="array" ref="P714">IFERROR(
HYPERLINK(
"https://drive.google.com/file/d/"&amp;
XLOOKUP(O714,'Hoa-Don'!A:A,'Hoa-Don'!D:D)
&amp;"/view",
"🔎"
),
""
)</f>
        <v/>
      </c>
    </row>
    <row r="715" ht="22.5" customHeight="1">
      <c r="A715" s="21">
        <v>714.0</v>
      </c>
      <c r="B715" s="22">
        <v>43677.0</v>
      </c>
      <c r="C715" s="23">
        <v>350.0</v>
      </c>
      <c r="D715" s="24" t="s">
        <v>130</v>
      </c>
      <c r="E715" s="25" t="s">
        <v>11</v>
      </c>
      <c r="F715" s="26"/>
      <c r="G715" s="36" t="s">
        <v>42</v>
      </c>
      <c r="H715" s="28">
        <v>112.0</v>
      </c>
      <c r="I715" s="28">
        <v>13926.419467241276</v>
      </c>
      <c r="J715" s="29">
        <v>1559758.980331023</v>
      </c>
      <c r="K715" s="29">
        <v>13926.419467241276</v>
      </c>
      <c r="L715" s="30">
        <v>25936.699999999983</v>
      </c>
      <c r="M715" s="29">
        <v>3.6120536379599655E8</v>
      </c>
      <c r="N715" s="31" t="s">
        <v>814</v>
      </c>
      <c r="O715" s="32"/>
      <c r="P715" s="33" t="str">
        <f t="array" ref="P715">IFERROR(
HYPERLINK(
"https://drive.google.com/file/d/"&amp;
XLOOKUP(O715,'Hoa-Don'!A:A,'Hoa-Don'!D:D)
&amp;"/view",
"🔎"
),
""
)</f>
        <v/>
      </c>
    </row>
    <row r="716" ht="22.5" customHeight="1">
      <c r="A716" s="21">
        <v>715.0</v>
      </c>
      <c r="B716" s="22">
        <v>43679.0</v>
      </c>
      <c r="C716" s="23">
        <v>351.0</v>
      </c>
      <c r="D716" s="24" t="s">
        <v>48</v>
      </c>
      <c r="E716" s="35" t="s">
        <v>18</v>
      </c>
      <c r="F716" s="26"/>
      <c r="G716" s="36" t="s">
        <v>42</v>
      </c>
      <c r="H716" s="28">
        <v>530.0</v>
      </c>
      <c r="I716" s="28">
        <v>11960.428319667046</v>
      </c>
      <c r="J716" s="29">
        <v>6339027.009423534</v>
      </c>
      <c r="K716" s="29">
        <v>11960.428319667046</v>
      </c>
      <c r="L716" s="30">
        <v>63739.390000000014</v>
      </c>
      <c r="M716" s="29">
        <v>7.623504052343026E8</v>
      </c>
      <c r="N716" s="31" t="s">
        <v>815</v>
      </c>
      <c r="O716" s="32"/>
      <c r="P716" s="33" t="str">
        <f t="array" ref="P716">IFERROR(
HYPERLINK(
"https://drive.google.com/file/d/"&amp;
XLOOKUP(O716,'Hoa-Don'!A:A,'Hoa-Don'!D:D)
&amp;"/view",
"🔎"
),
""
)</f>
        <v/>
      </c>
    </row>
    <row r="717" ht="22.5" customHeight="1">
      <c r="A717" s="21">
        <v>716.0</v>
      </c>
      <c r="B717" s="22">
        <v>43679.0</v>
      </c>
      <c r="C717" s="23">
        <v>351.0</v>
      </c>
      <c r="D717" s="24" t="s">
        <v>48</v>
      </c>
      <c r="E717" s="35" t="s">
        <v>18</v>
      </c>
      <c r="F717" s="26"/>
      <c r="G717" s="36" t="s">
        <v>42</v>
      </c>
      <c r="H717" s="28">
        <v>10.0</v>
      </c>
      <c r="I717" s="28">
        <v>11960.428319667046</v>
      </c>
      <c r="J717" s="29">
        <v>119604.28319667045</v>
      </c>
      <c r="K717" s="29">
        <v>11960.428319667046</v>
      </c>
      <c r="L717" s="30">
        <v>63729.390000000014</v>
      </c>
      <c r="M717" s="29">
        <v>7.62230800951106E8</v>
      </c>
      <c r="N717" s="31" t="s">
        <v>816</v>
      </c>
      <c r="O717" s="32"/>
      <c r="P717" s="33" t="str">
        <f t="array" ref="P717">IFERROR(
HYPERLINK(
"https://drive.google.com/file/d/"&amp;
XLOOKUP(O717,'Hoa-Don'!A:A,'Hoa-Don'!D:D)
&amp;"/view",
"🔎"
),
""
)</f>
        <v/>
      </c>
    </row>
    <row r="718" ht="22.5" customHeight="1">
      <c r="A718" s="21">
        <v>717.0</v>
      </c>
      <c r="B718" s="22">
        <v>43680.0</v>
      </c>
      <c r="C718" s="23">
        <v>352.0</v>
      </c>
      <c r="D718" s="24" t="s">
        <v>48</v>
      </c>
      <c r="E718" s="35" t="s">
        <v>18</v>
      </c>
      <c r="F718" s="26"/>
      <c r="G718" s="36" t="s">
        <v>42</v>
      </c>
      <c r="H718" s="28">
        <v>1000.0</v>
      </c>
      <c r="I718" s="28">
        <v>11960.428319667046</v>
      </c>
      <c r="J718" s="29">
        <v>1.1960428319667045E7</v>
      </c>
      <c r="K718" s="29">
        <v>11960.428319667046</v>
      </c>
      <c r="L718" s="30">
        <v>62729.390000000014</v>
      </c>
      <c r="M718" s="29">
        <v>7.50270372631439E8</v>
      </c>
      <c r="N718" s="31" t="s">
        <v>817</v>
      </c>
      <c r="O718" s="32"/>
      <c r="P718" s="33" t="str">
        <f t="array" ref="P718">IFERROR(
HYPERLINK(
"https://drive.google.com/file/d/"&amp;
XLOOKUP(O718,'Hoa-Don'!A:A,'Hoa-Don'!D:D)
&amp;"/view",
"🔎"
),
""
)</f>
        <v/>
      </c>
    </row>
    <row r="719" ht="22.5" customHeight="1">
      <c r="A719" s="21">
        <v>718.0</v>
      </c>
      <c r="B719" s="22">
        <v>43681.0</v>
      </c>
      <c r="C719" s="23">
        <v>353.0</v>
      </c>
      <c r="D719" s="24" t="s">
        <v>48</v>
      </c>
      <c r="E719" s="35" t="s">
        <v>18</v>
      </c>
      <c r="F719" s="26"/>
      <c r="G719" s="36" t="s">
        <v>42</v>
      </c>
      <c r="H719" s="28">
        <v>366.0</v>
      </c>
      <c r="I719" s="28">
        <v>11960.428319667046</v>
      </c>
      <c r="J719" s="29">
        <v>4377516.764998139</v>
      </c>
      <c r="K719" s="29">
        <v>11960.428319667046</v>
      </c>
      <c r="L719" s="30">
        <v>62363.390000000014</v>
      </c>
      <c r="M719" s="29">
        <v>7.458928558664408E8</v>
      </c>
      <c r="N719" s="31" t="s">
        <v>818</v>
      </c>
      <c r="O719" s="32"/>
      <c r="P719" s="33" t="str">
        <f t="array" ref="P719">IFERROR(
HYPERLINK(
"https://drive.google.com/file/d/"&amp;
XLOOKUP(O719,'Hoa-Don'!A:A,'Hoa-Don'!D:D)
&amp;"/view",
"🔎"
),
""
)</f>
        <v/>
      </c>
    </row>
    <row r="720" ht="22.5" customHeight="1">
      <c r="A720" s="21">
        <v>719.0</v>
      </c>
      <c r="B720" s="22">
        <v>43681.0</v>
      </c>
      <c r="C720" s="23">
        <v>353.0</v>
      </c>
      <c r="D720" s="24" t="s">
        <v>48</v>
      </c>
      <c r="E720" s="35" t="s">
        <v>18</v>
      </c>
      <c r="F720" s="26"/>
      <c r="G720" s="36" t="s">
        <v>42</v>
      </c>
      <c r="H720" s="28">
        <v>94.2</v>
      </c>
      <c r="I720" s="28">
        <v>11960.428319667046</v>
      </c>
      <c r="J720" s="29">
        <v>1126672.3477126358</v>
      </c>
      <c r="K720" s="29">
        <v>11960.428319667046</v>
      </c>
      <c r="L720" s="30">
        <v>62269.19000000002</v>
      </c>
      <c r="M720" s="29">
        <v>7.447661835187283E8</v>
      </c>
      <c r="N720" s="31" t="s">
        <v>819</v>
      </c>
      <c r="O720" s="32"/>
      <c r="P720" s="33" t="str">
        <f t="array" ref="P720">IFERROR(
HYPERLINK(
"https://drive.google.com/file/d/"&amp;
XLOOKUP(O720,'Hoa-Don'!A:A,'Hoa-Don'!D:D)
&amp;"/view",
"🔎"
),
""
)</f>
        <v/>
      </c>
    </row>
    <row r="721" ht="22.5" customHeight="1">
      <c r="A721" s="21">
        <v>720.0</v>
      </c>
      <c r="B721" s="22">
        <v>43681.0</v>
      </c>
      <c r="C721" s="23">
        <v>353.0</v>
      </c>
      <c r="D721" s="24" t="s">
        <v>48</v>
      </c>
      <c r="E721" s="35" t="s">
        <v>18</v>
      </c>
      <c r="F721" s="26"/>
      <c r="G721" s="36" t="s">
        <v>42</v>
      </c>
      <c r="H721" s="28">
        <v>95.37</v>
      </c>
      <c r="I721" s="28">
        <v>11960.428319667046</v>
      </c>
      <c r="J721" s="29">
        <v>1140666.0488466462</v>
      </c>
      <c r="K721" s="29">
        <v>11960.428319667046</v>
      </c>
      <c r="L721" s="30">
        <v>62173.820000000014</v>
      </c>
      <c r="M721" s="29">
        <v>7.436255174698815E8</v>
      </c>
      <c r="N721" s="31" t="s">
        <v>820</v>
      </c>
      <c r="O721" s="32"/>
      <c r="P721" s="33" t="str">
        <f t="array" ref="P721">IFERROR(
HYPERLINK(
"https://drive.google.com/file/d/"&amp;
XLOOKUP(O721,'Hoa-Don'!A:A,'Hoa-Don'!D:D)
&amp;"/view",
"🔎"
),
""
)</f>
        <v/>
      </c>
    </row>
    <row r="722" ht="22.5" customHeight="1">
      <c r="A722" s="21">
        <v>721.0</v>
      </c>
      <c r="B722" s="22">
        <v>43692.0</v>
      </c>
      <c r="C722" s="23">
        <v>219.0</v>
      </c>
      <c r="D722" s="24" t="s">
        <v>821</v>
      </c>
      <c r="E722" s="25" t="s">
        <v>11</v>
      </c>
      <c r="F722" s="26"/>
      <c r="G722" s="27" t="s">
        <v>38</v>
      </c>
      <c r="H722" s="28">
        <v>1388.0</v>
      </c>
      <c r="I722" s="28">
        <v>13090.9</v>
      </c>
      <c r="J722" s="29">
        <v>1.81701692E7</v>
      </c>
      <c r="K722" s="29">
        <v>13883.977975823953</v>
      </c>
      <c r="L722" s="30">
        <v>27324.699999999983</v>
      </c>
      <c r="M722" s="29">
        <v>3.7937553299599653E8</v>
      </c>
      <c r="N722" s="31" t="s">
        <v>822</v>
      </c>
      <c r="O722" s="32"/>
      <c r="P722" s="33" t="str">
        <f t="array" ref="P722">IFERROR(
HYPERLINK(
"https://drive.google.com/file/d/"&amp;
XLOOKUP(O722,'Hoa-Don'!A:A,'Hoa-Don'!D:D)
&amp;"/view",
"🔎"
),
""
)</f>
        <v/>
      </c>
    </row>
    <row r="723" ht="22.5" customHeight="1">
      <c r="A723" s="21">
        <v>722.0</v>
      </c>
      <c r="B723" s="22">
        <v>43693.0</v>
      </c>
      <c r="C723" s="23">
        <v>222.0</v>
      </c>
      <c r="D723" s="24" t="s">
        <v>821</v>
      </c>
      <c r="E723" s="25" t="s">
        <v>11</v>
      </c>
      <c r="F723" s="26"/>
      <c r="G723" s="27" t="s">
        <v>38</v>
      </c>
      <c r="H723" s="28">
        <v>1388.0</v>
      </c>
      <c r="I723" s="28">
        <v>13090.9</v>
      </c>
      <c r="J723" s="29">
        <v>1.81701692E7</v>
      </c>
      <c r="K723" s="29">
        <v>13845.63981081531</v>
      </c>
      <c r="L723" s="30">
        <v>28712.699999999983</v>
      </c>
      <c r="M723" s="29">
        <v>3.975457021959965E8</v>
      </c>
      <c r="N723" s="31" t="s">
        <v>823</v>
      </c>
      <c r="O723" s="32"/>
      <c r="P723" s="33" t="str">
        <f t="array" ref="P723">IFERROR(
HYPERLINK(
"https://drive.google.com/file/d/"&amp;
XLOOKUP(O723,'Hoa-Don'!A:A,'Hoa-Don'!D:D)
&amp;"/view",
"🔎"
),
""
)</f>
        <v/>
      </c>
    </row>
    <row r="724" ht="22.5" customHeight="1">
      <c r="A724" s="21">
        <v>723.0</v>
      </c>
      <c r="B724" s="22">
        <v>43695.0</v>
      </c>
      <c r="C724" s="23">
        <v>226.0</v>
      </c>
      <c r="D724" s="24" t="s">
        <v>821</v>
      </c>
      <c r="E724" s="25" t="s">
        <v>11</v>
      </c>
      <c r="F724" s="26"/>
      <c r="G724" s="27" t="s">
        <v>38</v>
      </c>
      <c r="H724" s="28">
        <v>347.0</v>
      </c>
      <c r="I724" s="28">
        <v>13090.9</v>
      </c>
      <c r="J724" s="29">
        <v>4542542.3</v>
      </c>
      <c r="K724" s="29">
        <v>13836.627511502073</v>
      </c>
      <c r="L724" s="30">
        <v>29059.699999999983</v>
      </c>
      <c r="M724" s="29">
        <v>4.0208824449599653E8</v>
      </c>
      <c r="N724" s="31" t="s">
        <v>824</v>
      </c>
      <c r="O724" s="32"/>
      <c r="P724" s="33" t="str">
        <f t="array" ref="P724">IFERROR(
HYPERLINK(
"https://drive.google.com/file/d/"&amp;
XLOOKUP(O724,'Hoa-Don'!A:A,'Hoa-Don'!D:D)
&amp;"/view",
"🔎"
),
""
)</f>
        <v/>
      </c>
    </row>
    <row r="725" ht="22.5" customHeight="1">
      <c r="A725" s="21">
        <v>724.0</v>
      </c>
      <c r="B725" s="22">
        <v>43696.0</v>
      </c>
      <c r="C725" s="23">
        <v>229.0</v>
      </c>
      <c r="D725" s="24" t="s">
        <v>821</v>
      </c>
      <c r="E725" s="25" t="s">
        <v>11</v>
      </c>
      <c r="F725" s="26"/>
      <c r="G725" s="27" t="s">
        <v>38</v>
      </c>
      <c r="H725" s="28">
        <v>4151.0</v>
      </c>
      <c r="I725" s="28">
        <v>13090.9</v>
      </c>
      <c r="J725" s="29">
        <v>5.43403259E7</v>
      </c>
      <c r="K725" s="29">
        <v>13743.419150936197</v>
      </c>
      <c r="L725" s="30">
        <v>33210.69999999998</v>
      </c>
      <c r="M725" s="29">
        <v>4.564285703959965E8</v>
      </c>
      <c r="N725" s="31" t="s">
        <v>825</v>
      </c>
      <c r="O725" s="32"/>
      <c r="P725" s="33" t="str">
        <f t="array" ref="P725">IFERROR(
HYPERLINK(
"https://drive.google.com/file/d/"&amp;
XLOOKUP(O725,'Hoa-Don'!A:A,'Hoa-Don'!D:D)
&amp;"/view",
"🔎"
),
""
)</f>
        <v/>
      </c>
    </row>
    <row r="726" ht="22.5" customHeight="1">
      <c r="A726" s="21">
        <v>725.0</v>
      </c>
      <c r="B726" s="22">
        <v>43696.0</v>
      </c>
      <c r="C726" s="23">
        <v>230.0</v>
      </c>
      <c r="D726" s="24" t="s">
        <v>821</v>
      </c>
      <c r="E726" s="25" t="s">
        <v>11</v>
      </c>
      <c r="F726" s="26"/>
      <c r="G726" s="27" t="s">
        <v>38</v>
      </c>
      <c r="H726" s="28">
        <v>5489.0</v>
      </c>
      <c r="I726" s="28">
        <v>13090.9</v>
      </c>
      <c r="J726" s="29">
        <v>7.18559501E7</v>
      </c>
      <c r="K726" s="29">
        <v>13650.868624201135</v>
      </c>
      <c r="L726" s="30">
        <v>38699.69999999998</v>
      </c>
      <c r="M726" s="29">
        <v>5.282845204959965E8</v>
      </c>
      <c r="N726" s="31" t="s">
        <v>826</v>
      </c>
      <c r="O726" s="32"/>
      <c r="P726" s="33" t="str">
        <f t="array" ref="P726">IFERROR(
HYPERLINK(
"https://drive.google.com/file/d/"&amp;
XLOOKUP(O726,'Hoa-Don'!A:A,'Hoa-Don'!D:D)
&amp;"/view",
"🔎"
),
""
)</f>
        <v/>
      </c>
    </row>
    <row r="727" ht="22.5" customHeight="1">
      <c r="A727" s="21">
        <v>726.0</v>
      </c>
      <c r="B727" s="22">
        <v>43698.0</v>
      </c>
      <c r="C727" s="23">
        <v>354.0</v>
      </c>
      <c r="D727" s="24" t="s">
        <v>115</v>
      </c>
      <c r="E727" s="35" t="s">
        <v>18</v>
      </c>
      <c r="F727" s="26"/>
      <c r="G727" s="36" t="s">
        <v>42</v>
      </c>
      <c r="H727" s="28">
        <v>468.0</v>
      </c>
      <c r="I727" s="28">
        <v>11960.428319667046</v>
      </c>
      <c r="J727" s="29">
        <v>5597480.453604178</v>
      </c>
      <c r="K727" s="29">
        <v>11960.428319667046</v>
      </c>
      <c r="L727" s="30">
        <v>61705.820000000014</v>
      </c>
      <c r="M727" s="29">
        <v>7.380280370162773E8</v>
      </c>
      <c r="N727" s="31" t="s">
        <v>827</v>
      </c>
      <c r="O727" s="32"/>
      <c r="P727" s="33" t="str">
        <f t="array" ref="P727">IFERROR(
HYPERLINK(
"https://drive.google.com/file/d/"&amp;
XLOOKUP(O727,'Hoa-Don'!A:A,'Hoa-Don'!D:D)
&amp;"/view",
"🔎"
),
""
)</f>
        <v/>
      </c>
    </row>
    <row r="728" ht="22.5" customHeight="1">
      <c r="A728" s="21">
        <v>727.0</v>
      </c>
      <c r="B728" s="22">
        <v>43707.0</v>
      </c>
      <c r="C728" s="23">
        <v>355.0</v>
      </c>
      <c r="D728" s="24" t="s">
        <v>460</v>
      </c>
      <c r="E728" s="35" t="s">
        <v>18</v>
      </c>
      <c r="F728" s="26"/>
      <c r="G728" s="36" t="s">
        <v>42</v>
      </c>
      <c r="H728" s="28">
        <v>3896.0</v>
      </c>
      <c r="I728" s="28">
        <v>11960.428319667046</v>
      </c>
      <c r="J728" s="29">
        <v>4.659782873342281E7</v>
      </c>
      <c r="K728" s="29">
        <v>11960.428319667046</v>
      </c>
      <c r="L728" s="30">
        <v>57809.820000000014</v>
      </c>
      <c r="M728" s="29">
        <v>6.914302082828546E8</v>
      </c>
      <c r="N728" s="31" t="s">
        <v>828</v>
      </c>
      <c r="O728" s="32"/>
      <c r="P728" s="33" t="str">
        <f t="array" ref="P728">IFERROR(
HYPERLINK(
"https://drive.google.com/file/d/"&amp;
XLOOKUP(O728,'Hoa-Don'!A:A,'Hoa-Don'!D:D)
&amp;"/view",
"🔎"
),
""
)</f>
        <v/>
      </c>
    </row>
    <row r="729" ht="22.5" customHeight="1">
      <c r="A729" s="21">
        <v>728.0</v>
      </c>
      <c r="B729" s="22">
        <v>43708.0</v>
      </c>
      <c r="C729" s="23">
        <v>356.0</v>
      </c>
      <c r="D729" s="24" t="s">
        <v>130</v>
      </c>
      <c r="E729" s="35" t="s">
        <v>18</v>
      </c>
      <c r="F729" s="26"/>
      <c r="G729" s="36" t="s">
        <v>42</v>
      </c>
      <c r="H729" s="28">
        <v>102.0</v>
      </c>
      <c r="I729" s="28">
        <v>11960.428319667046</v>
      </c>
      <c r="J729" s="29">
        <v>1219963.6886060387</v>
      </c>
      <c r="K729" s="29">
        <v>11960.428319667046</v>
      </c>
      <c r="L729" s="30">
        <v>57707.820000000014</v>
      </c>
      <c r="M729" s="29">
        <v>6.902102445942485E8</v>
      </c>
      <c r="N729" s="31" t="s">
        <v>829</v>
      </c>
      <c r="O729" s="32"/>
      <c r="P729" s="33" t="str">
        <f t="array" ref="P729">IFERROR(
HYPERLINK(
"https://drive.google.com/file/d/"&amp;
XLOOKUP(O729,'Hoa-Don'!A:A,'Hoa-Don'!D:D)
&amp;"/view",
"🔎"
),
""
)</f>
        <v/>
      </c>
    </row>
    <row r="730" ht="22.5" customHeight="1">
      <c r="A730" s="21">
        <v>729.0</v>
      </c>
      <c r="B730" s="22">
        <v>43709.0</v>
      </c>
      <c r="C730" s="23">
        <v>357.0</v>
      </c>
      <c r="D730" s="24" t="s">
        <v>130</v>
      </c>
      <c r="E730" s="35" t="s">
        <v>18</v>
      </c>
      <c r="F730" s="26"/>
      <c r="G730" s="36" t="s">
        <v>42</v>
      </c>
      <c r="H730" s="28">
        <v>112.0</v>
      </c>
      <c r="I730" s="28">
        <v>11960.428319667046</v>
      </c>
      <c r="J730" s="29">
        <v>1339567.9718027092</v>
      </c>
      <c r="K730" s="29">
        <v>11960.428319667046</v>
      </c>
      <c r="L730" s="30">
        <v>57595.820000000014</v>
      </c>
      <c r="M730" s="29">
        <v>6.888706766224458E8</v>
      </c>
      <c r="N730" s="31" t="s">
        <v>830</v>
      </c>
      <c r="O730" s="32"/>
      <c r="P730" s="33" t="str">
        <f t="array" ref="P730">IFERROR(
HYPERLINK(
"https://drive.google.com/file/d/"&amp;
XLOOKUP(O730,'Hoa-Don'!A:A,'Hoa-Don'!D:D)
&amp;"/view",
"🔎"
),
""
)</f>
        <v/>
      </c>
    </row>
    <row r="731" ht="22.5" customHeight="1">
      <c r="A731" s="21">
        <v>730.0</v>
      </c>
      <c r="B731" s="22">
        <v>43713.0</v>
      </c>
      <c r="C731" s="23">
        <v>274.0</v>
      </c>
      <c r="D731" s="24" t="s">
        <v>821</v>
      </c>
      <c r="E731" s="25" t="s">
        <v>11</v>
      </c>
      <c r="F731" s="26"/>
      <c r="G731" s="27" t="s">
        <v>38</v>
      </c>
      <c r="H731" s="28">
        <v>6079.0</v>
      </c>
      <c r="I731" s="28">
        <v>13090.9</v>
      </c>
      <c r="J731" s="29">
        <v>7.95795811E7</v>
      </c>
      <c r="K731" s="29">
        <v>13574.849238499482</v>
      </c>
      <c r="L731" s="30">
        <v>44778.69999999998</v>
      </c>
      <c r="M731" s="29">
        <v>6.078641015959965E8</v>
      </c>
      <c r="N731" s="31" t="s">
        <v>831</v>
      </c>
      <c r="O731" s="32"/>
      <c r="P731" s="33" t="str">
        <f t="array" ref="P731">IFERROR(
HYPERLINK(
"https://drive.google.com/file/d/"&amp;
XLOOKUP(O731,'Hoa-Don'!A:A,'Hoa-Don'!D:D)
&amp;"/view",
"🔎"
),
""
)</f>
        <v/>
      </c>
    </row>
    <row r="732" ht="22.5" customHeight="1">
      <c r="A732" s="21">
        <v>731.0</v>
      </c>
      <c r="B732" s="22">
        <v>43714.0</v>
      </c>
      <c r="C732" s="23">
        <v>358.0</v>
      </c>
      <c r="D732" s="24" t="s">
        <v>115</v>
      </c>
      <c r="E732" s="35" t="s">
        <v>18</v>
      </c>
      <c r="F732" s="26"/>
      <c r="G732" s="36" t="s">
        <v>42</v>
      </c>
      <c r="H732" s="28">
        <v>251.0</v>
      </c>
      <c r="I732" s="28">
        <v>11960.428319667046</v>
      </c>
      <c r="J732" s="29">
        <v>3002067.5082364287</v>
      </c>
      <c r="K732" s="29">
        <v>11960.428319667046</v>
      </c>
      <c r="L732" s="30">
        <v>57344.820000000014</v>
      </c>
      <c r="M732" s="29">
        <v>6.858686091142094E8</v>
      </c>
      <c r="N732" s="31" t="s">
        <v>832</v>
      </c>
      <c r="O732" s="32"/>
      <c r="P732" s="33" t="str">
        <f t="array" ref="P732">IFERROR(
HYPERLINK(
"https://drive.google.com/file/d/"&amp;
XLOOKUP(O732,'Hoa-Don'!A:A,'Hoa-Don'!D:D)
&amp;"/view",
"🔎"
),
""
)</f>
        <v/>
      </c>
    </row>
    <row r="733" ht="22.5" customHeight="1">
      <c r="A733" s="21">
        <v>732.0</v>
      </c>
      <c r="B733" s="22">
        <v>43722.0</v>
      </c>
      <c r="C733" s="23">
        <v>359.0</v>
      </c>
      <c r="D733" s="24" t="s">
        <v>130</v>
      </c>
      <c r="E733" s="35" t="s">
        <v>18</v>
      </c>
      <c r="F733" s="26"/>
      <c r="G733" s="36" t="s">
        <v>42</v>
      </c>
      <c r="H733" s="28">
        <v>100.0</v>
      </c>
      <c r="I733" s="28">
        <v>11960.428319667046</v>
      </c>
      <c r="J733" s="29">
        <v>1196042.8319667047</v>
      </c>
      <c r="K733" s="29">
        <v>11960.428319667046</v>
      </c>
      <c r="L733" s="30">
        <v>57244.820000000014</v>
      </c>
      <c r="M733" s="29">
        <v>6.846725662822427E8</v>
      </c>
      <c r="N733" s="31" t="s">
        <v>833</v>
      </c>
      <c r="O733" s="32"/>
      <c r="P733" s="33" t="str">
        <f t="array" ref="P733">IFERROR(
HYPERLINK(
"https://drive.google.com/file/d/"&amp;
XLOOKUP(O733,'Hoa-Don'!A:A,'Hoa-Don'!D:D)
&amp;"/view",
"🔎"
),
""
)</f>
        <v/>
      </c>
    </row>
    <row r="734" ht="22.5" customHeight="1">
      <c r="A734" s="21">
        <v>733.0</v>
      </c>
      <c r="B734" s="22">
        <v>43740.0</v>
      </c>
      <c r="C734" s="23">
        <v>815.0</v>
      </c>
      <c r="D734" s="24" t="s">
        <v>402</v>
      </c>
      <c r="E734" s="35" t="s">
        <v>18</v>
      </c>
      <c r="F734" s="26"/>
      <c r="G734" s="27" t="s">
        <v>38</v>
      </c>
      <c r="H734" s="28">
        <v>7046.0</v>
      </c>
      <c r="I734" s="28">
        <v>11522.6</v>
      </c>
      <c r="J734" s="29">
        <v>8.118823960000001E7</v>
      </c>
      <c r="K734" s="29">
        <v>11912.444200933236</v>
      </c>
      <c r="L734" s="30">
        <v>64290.820000000014</v>
      </c>
      <c r="M734" s="29">
        <v>7.658608058822427E8</v>
      </c>
      <c r="N734" s="31" t="s">
        <v>834</v>
      </c>
      <c r="O734" s="32"/>
      <c r="P734" s="33" t="str">
        <f t="array" ref="P734">IFERROR(
HYPERLINK(
"https://drive.google.com/file/d/"&amp;
XLOOKUP(O734,'Hoa-Don'!A:A,'Hoa-Don'!D:D)
&amp;"/view",
"🔎"
),
""
)</f>
        <v/>
      </c>
    </row>
    <row r="735" ht="22.5" customHeight="1">
      <c r="A735" s="21">
        <v>734.0</v>
      </c>
      <c r="B735" s="22">
        <v>43741.0</v>
      </c>
      <c r="C735" s="23">
        <v>361.0</v>
      </c>
      <c r="D735" s="24" t="s">
        <v>130</v>
      </c>
      <c r="E735" s="35" t="s">
        <v>18</v>
      </c>
      <c r="F735" s="26"/>
      <c r="G735" s="36" t="s">
        <v>42</v>
      </c>
      <c r="H735" s="28">
        <v>96.0</v>
      </c>
      <c r="I735" s="28">
        <v>11912.444200933236</v>
      </c>
      <c r="J735" s="29">
        <v>1143594.6432895907</v>
      </c>
      <c r="K735" s="29">
        <v>11912.444200933236</v>
      </c>
      <c r="L735" s="30">
        <v>64194.820000000014</v>
      </c>
      <c r="M735" s="29">
        <v>7.647172112389531E8</v>
      </c>
      <c r="N735" s="31" t="s">
        <v>835</v>
      </c>
      <c r="O735" s="32"/>
      <c r="P735" s="33" t="str">
        <f t="array" ref="P735">IFERROR(
HYPERLINK(
"https://drive.google.com/file/d/"&amp;
XLOOKUP(O735,'Hoa-Don'!A:A,'Hoa-Don'!D:D)
&amp;"/view",
"🔎"
),
""
)</f>
        <v/>
      </c>
    </row>
    <row r="736" ht="22.5" customHeight="1">
      <c r="A736" s="21">
        <v>735.0</v>
      </c>
      <c r="B736" s="22">
        <v>43741.0</v>
      </c>
      <c r="C736" s="23">
        <v>362.0</v>
      </c>
      <c r="D736" s="24" t="s">
        <v>115</v>
      </c>
      <c r="E736" s="35" t="s">
        <v>18</v>
      </c>
      <c r="F736" s="26"/>
      <c r="G736" s="36" t="s">
        <v>42</v>
      </c>
      <c r="H736" s="28">
        <v>460.0</v>
      </c>
      <c r="I736" s="28">
        <v>11912.444200933236</v>
      </c>
      <c r="J736" s="29">
        <v>5479724.332429289</v>
      </c>
      <c r="K736" s="29">
        <v>11912.444200933236</v>
      </c>
      <c r="L736" s="30">
        <v>63734.820000000014</v>
      </c>
      <c r="M736" s="29">
        <v>7.592374869065238E8</v>
      </c>
      <c r="N736" s="31" t="s">
        <v>836</v>
      </c>
      <c r="O736" s="32"/>
      <c r="P736" s="33" t="str">
        <f t="array" ref="P736">IFERROR(
HYPERLINK(
"https://drive.google.com/file/d/"&amp;
XLOOKUP(O736,'Hoa-Don'!A:A,'Hoa-Don'!D:D)
&amp;"/view",
"🔎"
),
""
)</f>
        <v/>
      </c>
    </row>
    <row r="737" ht="22.5" customHeight="1">
      <c r="A737" s="21">
        <v>736.0</v>
      </c>
      <c r="B737" s="22">
        <v>43742.0</v>
      </c>
      <c r="C737" s="23">
        <v>363.0</v>
      </c>
      <c r="D737" s="24" t="s">
        <v>130</v>
      </c>
      <c r="E737" s="25" t="s">
        <v>11</v>
      </c>
      <c r="F737" s="26"/>
      <c r="G737" s="36" t="s">
        <v>42</v>
      </c>
      <c r="H737" s="28">
        <v>85.0</v>
      </c>
      <c r="I737" s="28">
        <v>13574.849238499482</v>
      </c>
      <c r="J737" s="29">
        <v>1153862.185272456</v>
      </c>
      <c r="K737" s="29">
        <v>13574.849238499482</v>
      </c>
      <c r="L737" s="30">
        <v>44693.69999999998</v>
      </c>
      <c r="M737" s="29">
        <v>6.06710239410724E8</v>
      </c>
      <c r="N737" s="31" t="s">
        <v>837</v>
      </c>
      <c r="O737" s="32"/>
      <c r="P737" s="33" t="str">
        <f t="array" ref="P737">IFERROR(
HYPERLINK(
"https://drive.google.com/file/d/"&amp;
XLOOKUP(O737,'Hoa-Don'!A:A,'Hoa-Don'!D:D)
&amp;"/view",
"🔎"
),
""
)</f>
        <v/>
      </c>
    </row>
    <row r="738" ht="22.5" customHeight="1">
      <c r="A738" s="21">
        <v>737.0</v>
      </c>
      <c r="B738" s="22">
        <v>43748.0</v>
      </c>
      <c r="C738" s="23">
        <v>364.0</v>
      </c>
      <c r="D738" s="24" t="s">
        <v>115</v>
      </c>
      <c r="E738" s="35" t="s">
        <v>18</v>
      </c>
      <c r="F738" s="26"/>
      <c r="G738" s="36" t="s">
        <v>42</v>
      </c>
      <c r="H738" s="28">
        <v>218.0</v>
      </c>
      <c r="I738" s="28">
        <v>11912.444200933236</v>
      </c>
      <c r="J738" s="29">
        <v>2596912.8358034454</v>
      </c>
      <c r="K738" s="29">
        <v>11912.444200933236</v>
      </c>
      <c r="L738" s="30">
        <v>63516.820000000014</v>
      </c>
      <c r="M738" s="29">
        <v>7.566405740707203E8</v>
      </c>
      <c r="N738" s="31" t="s">
        <v>838</v>
      </c>
      <c r="O738" s="32"/>
      <c r="P738" s="33" t="str">
        <f t="array" ref="P738">IFERROR(
HYPERLINK(
"https://drive.google.com/file/d/"&amp;
XLOOKUP(O738,'Hoa-Don'!A:A,'Hoa-Don'!D:D)
&amp;"/view",
"🔎"
),
""
)</f>
        <v/>
      </c>
    </row>
    <row r="739" ht="22.5" customHeight="1">
      <c r="A739" s="21">
        <v>738.0</v>
      </c>
      <c r="B739" s="22">
        <v>43749.0</v>
      </c>
      <c r="C739" s="23">
        <v>365.0</v>
      </c>
      <c r="D739" s="24" t="s">
        <v>839</v>
      </c>
      <c r="E739" s="35" t="s">
        <v>18</v>
      </c>
      <c r="F739" s="26"/>
      <c r="G739" s="36" t="s">
        <v>42</v>
      </c>
      <c r="H739" s="28">
        <v>30150.0</v>
      </c>
      <c r="I739" s="28">
        <v>11912.444200933236</v>
      </c>
      <c r="J739" s="29">
        <v>3.591601926581371E8</v>
      </c>
      <c r="K739" s="29">
        <v>11912.444200933236</v>
      </c>
      <c r="L739" s="30">
        <v>33366.820000000014</v>
      </c>
      <c r="M739" s="29">
        <v>3.974803814125833E8</v>
      </c>
      <c r="N739" s="31" t="s">
        <v>840</v>
      </c>
      <c r="O739" s="32"/>
      <c r="P739" s="33" t="str">
        <f t="array" ref="P739">IFERROR(
HYPERLINK(
"https://drive.google.com/file/d/"&amp;
XLOOKUP(O739,'Hoa-Don'!A:A,'Hoa-Don'!D:D)
&amp;"/view",
"🔎"
),
""
)</f>
        <v/>
      </c>
    </row>
    <row r="740" ht="22.5" customHeight="1">
      <c r="A740" s="21">
        <v>739.0</v>
      </c>
      <c r="B740" s="22">
        <v>43750.0</v>
      </c>
      <c r="C740" s="23">
        <v>366.0</v>
      </c>
      <c r="D740" s="24" t="s">
        <v>115</v>
      </c>
      <c r="E740" s="35" t="s">
        <v>18</v>
      </c>
      <c r="F740" s="26"/>
      <c r="G740" s="36" t="s">
        <v>42</v>
      </c>
      <c r="H740" s="28">
        <v>331.0</v>
      </c>
      <c r="I740" s="28">
        <v>11912.444200933236</v>
      </c>
      <c r="J740" s="29">
        <v>3943019.030508901</v>
      </c>
      <c r="K740" s="29">
        <v>11912.444200933236</v>
      </c>
      <c r="L740" s="30">
        <v>33035.820000000014</v>
      </c>
      <c r="M740" s="29">
        <v>3.935373623820744E8</v>
      </c>
      <c r="N740" s="31" t="s">
        <v>841</v>
      </c>
      <c r="O740" s="32"/>
      <c r="P740" s="33" t="str">
        <f t="array" ref="P740">IFERROR(
HYPERLINK(
"https://drive.google.com/file/d/"&amp;
XLOOKUP(O740,'Hoa-Don'!A:A,'Hoa-Don'!D:D)
&amp;"/view",
"🔎"
),
""
)</f>
        <v/>
      </c>
    </row>
    <row r="741" ht="22.5" customHeight="1">
      <c r="A741" s="21">
        <v>740.0</v>
      </c>
      <c r="B741" s="22">
        <v>43753.0</v>
      </c>
      <c r="C741" s="23">
        <v>367.0</v>
      </c>
      <c r="D741" s="24" t="s">
        <v>115</v>
      </c>
      <c r="E741" s="35" t="s">
        <v>18</v>
      </c>
      <c r="F741" s="26"/>
      <c r="G741" s="36" t="s">
        <v>42</v>
      </c>
      <c r="H741" s="28">
        <v>130.0</v>
      </c>
      <c r="I741" s="28">
        <v>11912.444200933236</v>
      </c>
      <c r="J741" s="29">
        <v>1548617.7461213206</v>
      </c>
      <c r="K741" s="29">
        <v>11912.444200933236</v>
      </c>
      <c r="L741" s="30">
        <v>32905.820000000014</v>
      </c>
      <c r="M741" s="29">
        <v>3.9198874463595307E8</v>
      </c>
      <c r="N741" s="31" t="s">
        <v>842</v>
      </c>
      <c r="O741" s="32"/>
      <c r="P741" s="33" t="str">
        <f t="array" ref="P741">IFERROR(
HYPERLINK(
"https://drive.google.com/file/d/"&amp;
XLOOKUP(O741,'Hoa-Don'!A:A,'Hoa-Don'!D:D)
&amp;"/view",
"🔎"
),
""
)</f>
        <v/>
      </c>
    </row>
    <row r="742" ht="22.5" customHeight="1">
      <c r="A742" s="21">
        <v>741.0</v>
      </c>
      <c r="B742" s="22">
        <v>43756.0</v>
      </c>
      <c r="C742" s="23">
        <v>368.0</v>
      </c>
      <c r="D742" s="24" t="s">
        <v>63</v>
      </c>
      <c r="E742" s="35" t="s">
        <v>18</v>
      </c>
      <c r="F742" s="26"/>
      <c r="G742" s="36" t="s">
        <v>42</v>
      </c>
      <c r="H742" s="28">
        <v>288.0</v>
      </c>
      <c r="I742" s="28">
        <v>11912.444200933236</v>
      </c>
      <c r="J742" s="29">
        <v>3430783.929868772</v>
      </c>
      <c r="K742" s="29">
        <v>11912.444200933236</v>
      </c>
      <c r="L742" s="30">
        <v>32617.820000000014</v>
      </c>
      <c r="M742" s="29">
        <v>3.885579607060843E8</v>
      </c>
      <c r="N742" s="31" t="s">
        <v>843</v>
      </c>
      <c r="O742" s="32"/>
      <c r="P742" s="33" t="str">
        <f t="array" ref="P742">IFERROR(
HYPERLINK(
"https://drive.google.com/file/d/"&amp;
XLOOKUP(O742,'Hoa-Don'!A:A,'Hoa-Don'!D:D)
&amp;"/view",
"🔎"
),
""
)</f>
        <v/>
      </c>
    </row>
    <row r="743" ht="22.5" customHeight="1">
      <c r="A743" s="21">
        <v>742.0</v>
      </c>
      <c r="B743" s="22">
        <v>43769.0</v>
      </c>
      <c r="C743" s="23">
        <v>369.0</v>
      </c>
      <c r="D743" s="24" t="s">
        <v>130</v>
      </c>
      <c r="E743" s="25" t="s">
        <v>11</v>
      </c>
      <c r="F743" s="26"/>
      <c r="G743" s="36" t="s">
        <v>42</v>
      </c>
      <c r="H743" s="28">
        <v>120.0</v>
      </c>
      <c r="I743" s="28">
        <v>13574.849238499482</v>
      </c>
      <c r="J743" s="29">
        <v>1628981.908619938</v>
      </c>
      <c r="K743" s="29">
        <v>13574.849238499482</v>
      </c>
      <c r="L743" s="30">
        <v>44573.69999999998</v>
      </c>
      <c r="M743" s="29">
        <v>6.050812575021042E8</v>
      </c>
      <c r="N743" s="31" t="s">
        <v>844</v>
      </c>
      <c r="O743" s="32"/>
      <c r="P743" s="33" t="str">
        <f t="array" ref="P743">IFERROR(
HYPERLINK(
"https://drive.google.com/file/d/"&amp;
XLOOKUP(O743,'Hoa-Don'!A:A,'Hoa-Don'!D:D)
&amp;"/view",
"🔎"
),
""
)</f>
        <v/>
      </c>
    </row>
    <row r="744" ht="22.5" customHeight="1">
      <c r="A744" s="21">
        <v>743.0</v>
      </c>
      <c r="B744" s="22">
        <v>43771.0</v>
      </c>
      <c r="C744" s="23">
        <v>370.0</v>
      </c>
      <c r="D744" s="24" t="s">
        <v>845</v>
      </c>
      <c r="E744" s="35" t="s">
        <v>18</v>
      </c>
      <c r="F744" s="26"/>
      <c r="G744" s="36" t="s">
        <v>42</v>
      </c>
      <c r="H744" s="28">
        <v>220.18</v>
      </c>
      <c r="I744" s="28">
        <v>11912.444200933236</v>
      </c>
      <c r="J744" s="29">
        <v>2622881.96416148</v>
      </c>
      <c r="K744" s="29">
        <v>11912.444200933236</v>
      </c>
      <c r="L744" s="30">
        <v>32397.640000000014</v>
      </c>
      <c r="M744" s="29">
        <v>3.859350787419228E8</v>
      </c>
      <c r="N744" s="31" t="s">
        <v>846</v>
      </c>
      <c r="O744" s="32"/>
      <c r="P744" s="33" t="str">
        <f t="array" ref="P744">IFERROR(
HYPERLINK(
"https://drive.google.com/file/d/"&amp;
XLOOKUP(O744,'Hoa-Don'!A:A,'Hoa-Don'!D:D)
&amp;"/view",
"🔎"
),
""
)</f>
        <v/>
      </c>
    </row>
    <row r="745" ht="22.5" customHeight="1">
      <c r="A745" s="21">
        <v>744.0</v>
      </c>
      <c r="B745" s="22">
        <v>43771.0</v>
      </c>
      <c r="C745" s="23">
        <v>370.0</v>
      </c>
      <c r="D745" s="24" t="s">
        <v>845</v>
      </c>
      <c r="E745" s="35" t="s">
        <v>18</v>
      </c>
      <c r="F745" s="26"/>
      <c r="G745" s="36" t="s">
        <v>42</v>
      </c>
      <c r="H745" s="28">
        <v>860.5</v>
      </c>
      <c r="I745" s="28">
        <v>11912.444200933236</v>
      </c>
      <c r="J745" s="29">
        <v>1.0250658234903049E7</v>
      </c>
      <c r="K745" s="29">
        <v>11912.444200933236</v>
      </c>
      <c r="L745" s="30">
        <v>31537.140000000014</v>
      </c>
      <c r="M745" s="29">
        <v>3.7568442050701976E8</v>
      </c>
      <c r="N745" s="31" t="s">
        <v>847</v>
      </c>
      <c r="O745" s="32"/>
      <c r="P745" s="33" t="str">
        <f t="array" ref="P745">IFERROR(
HYPERLINK(
"https://drive.google.com/file/d/"&amp;
XLOOKUP(O745,'Hoa-Don'!A:A,'Hoa-Don'!D:D)
&amp;"/view",
"🔎"
),
""
)</f>
        <v/>
      </c>
    </row>
    <row r="746" ht="22.5" customHeight="1">
      <c r="A746" s="21">
        <v>745.0</v>
      </c>
      <c r="B746" s="22">
        <v>43774.0</v>
      </c>
      <c r="C746" s="23">
        <v>371.0</v>
      </c>
      <c r="D746" s="24" t="s">
        <v>845</v>
      </c>
      <c r="E746" s="35" t="s">
        <v>18</v>
      </c>
      <c r="F746" s="26"/>
      <c r="G746" s="36" t="s">
        <v>42</v>
      </c>
      <c r="H746" s="28">
        <v>881.26</v>
      </c>
      <c r="I746" s="28">
        <v>11912.444200933236</v>
      </c>
      <c r="J746" s="29">
        <v>1.0497960576514423E7</v>
      </c>
      <c r="K746" s="29">
        <v>11912.444200933236</v>
      </c>
      <c r="L746" s="30">
        <v>30655.880000000016</v>
      </c>
      <c r="M746" s="29">
        <v>3.6518645993050534E8</v>
      </c>
      <c r="N746" s="31" t="s">
        <v>848</v>
      </c>
      <c r="O746" s="32"/>
      <c r="P746" s="33" t="str">
        <f t="array" ref="P746">IFERROR(
HYPERLINK(
"https://drive.google.com/file/d/"&amp;
XLOOKUP(O746,'Hoa-Don'!A:A,'Hoa-Don'!D:D)
&amp;"/view",
"🔎"
),
""
)</f>
        <v/>
      </c>
    </row>
    <row r="747" ht="22.5" customHeight="1">
      <c r="A747" s="21">
        <v>746.0</v>
      </c>
      <c r="B747" s="22">
        <v>43774.0</v>
      </c>
      <c r="C747" s="23">
        <v>371.0</v>
      </c>
      <c r="D747" s="24" t="s">
        <v>845</v>
      </c>
      <c r="E747" s="35" t="s">
        <v>18</v>
      </c>
      <c r="F747" s="26"/>
      <c r="G747" s="36" t="s">
        <v>42</v>
      </c>
      <c r="H747" s="28">
        <v>26.67</v>
      </c>
      <c r="I747" s="28">
        <v>11912.444200933236</v>
      </c>
      <c r="J747" s="29">
        <v>317704.88683888945</v>
      </c>
      <c r="K747" s="29">
        <v>11912.444200933236</v>
      </c>
      <c r="L747" s="30">
        <v>30629.210000000017</v>
      </c>
      <c r="M747" s="29">
        <v>3.648687550436665E8</v>
      </c>
      <c r="N747" s="31" t="s">
        <v>849</v>
      </c>
      <c r="O747" s="32"/>
      <c r="P747" s="33" t="str">
        <f t="array" ref="P747">IFERROR(
HYPERLINK(
"https://drive.google.com/file/d/"&amp;
XLOOKUP(O747,'Hoa-Don'!A:A,'Hoa-Don'!D:D)
&amp;"/view",
"🔎"
),
""
)</f>
        <v/>
      </c>
    </row>
    <row r="748" ht="22.5" customHeight="1">
      <c r="A748" s="21">
        <v>747.0</v>
      </c>
      <c r="B748" s="22">
        <v>43799.0</v>
      </c>
      <c r="C748" s="23">
        <v>372.0</v>
      </c>
      <c r="D748" s="24" t="s">
        <v>130</v>
      </c>
      <c r="E748" s="25" t="s">
        <v>11</v>
      </c>
      <c r="F748" s="26"/>
      <c r="G748" s="36" t="s">
        <v>42</v>
      </c>
      <c r="H748" s="28">
        <v>100.0</v>
      </c>
      <c r="I748" s="28">
        <v>13574.849238499482</v>
      </c>
      <c r="J748" s="29">
        <v>1357484.9238499482</v>
      </c>
      <c r="K748" s="29">
        <v>13574.849238499482</v>
      </c>
      <c r="L748" s="30">
        <v>44473.69999999998</v>
      </c>
      <c r="M748" s="29">
        <v>6.037237725782542E8</v>
      </c>
      <c r="N748" s="31" t="s">
        <v>850</v>
      </c>
      <c r="O748" s="32"/>
      <c r="P748" s="33" t="str">
        <f t="array" ref="P748">IFERROR(
HYPERLINK(
"https://drive.google.com/file/d/"&amp;
XLOOKUP(O748,'Hoa-Don'!A:A,'Hoa-Don'!D:D)
&amp;"/view",
"🔎"
),
""
)</f>
        <v/>
      </c>
    </row>
    <row r="749" ht="22.5" customHeight="1">
      <c r="A749" s="21">
        <v>748.0</v>
      </c>
      <c r="B749" s="22">
        <v>43811.0</v>
      </c>
      <c r="C749" s="23">
        <v>374.0</v>
      </c>
      <c r="D749" s="24" t="s">
        <v>115</v>
      </c>
      <c r="E749" s="25" t="s">
        <v>11</v>
      </c>
      <c r="F749" s="26"/>
      <c r="G749" s="36" t="s">
        <v>42</v>
      </c>
      <c r="H749" s="28">
        <v>1102.0</v>
      </c>
      <c r="I749" s="28">
        <v>13574.849238499482</v>
      </c>
      <c r="J749" s="29">
        <v>1.4959483860826429E7</v>
      </c>
      <c r="K749" s="29">
        <v>13574.849238499482</v>
      </c>
      <c r="L749" s="30">
        <v>43371.69999999998</v>
      </c>
      <c r="M749" s="29">
        <v>5.887642887174277E8</v>
      </c>
      <c r="N749" s="31" t="s">
        <v>851</v>
      </c>
      <c r="O749" s="32"/>
      <c r="P749" s="33" t="str">
        <f t="array" ref="P749">IFERROR(
HYPERLINK(
"https://drive.google.com/file/d/"&amp;
XLOOKUP(O749,'Hoa-Don'!A:A,'Hoa-Don'!D:D)
&amp;"/view",
"🔎"
),
""
)</f>
        <v/>
      </c>
    </row>
    <row r="750" ht="22.5" customHeight="1">
      <c r="A750" s="21">
        <v>749.0</v>
      </c>
      <c r="B750" s="22">
        <v>43812.0</v>
      </c>
      <c r="C750" s="23">
        <v>375.0</v>
      </c>
      <c r="D750" s="24" t="s">
        <v>845</v>
      </c>
      <c r="E750" s="35" t="s">
        <v>18</v>
      </c>
      <c r="F750" s="26"/>
      <c r="G750" s="36" t="s">
        <v>42</v>
      </c>
      <c r="H750" s="28">
        <v>4.0</v>
      </c>
      <c r="I750" s="28">
        <v>11912.444200933236</v>
      </c>
      <c r="J750" s="29">
        <v>47649.776803732944</v>
      </c>
      <c r="K750" s="29">
        <v>11912.444200933236</v>
      </c>
      <c r="L750" s="30">
        <v>30625.210000000017</v>
      </c>
      <c r="M750" s="29">
        <v>3.6482110526686275E8</v>
      </c>
      <c r="N750" s="31" t="s">
        <v>852</v>
      </c>
      <c r="O750" s="32"/>
      <c r="P750" s="33" t="str">
        <f t="array" ref="P750">IFERROR(
HYPERLINK(
"https://drive.google.com/file/d/"&amp;
XLOOKUP(O750,'Hoa-Don'!A:A,'Hoa-Don'!D:D)
&amp;"/view",
"🔎"
),
""
)</f>
        <v/>
      </c>
    </row>
    <row r="751" ht="22.5" customHeight="1">
      <c r="A751" s="21">
        <v>750.0</v>
      </c>
      <c r="B751" s="22">
        <v>43812.0</v>
      </c>
      <c r="C751" s="23">
        <v>375.0</v>
      </c>
      <c r="D751" s="24" t="s">
        <v>845</v>
      </c>
      <c r="E751" s="35" t="s">
        <v>18</v>
      </c>
      <c r="F751" s="26"/>
      <c r="G751" s="36" t="s">
        <v>42</v>
      </c>
      <c r="H751" s="28">
        <v>70.0</v>
      </c>
      <c r="I751" s="28">
        <v>11912.444200933236</v>
      </c>
      <c r="J751" s="29">
        <v>833871.0940653265</v>
      </c>
      <c r="K751" s="29">
        <v>11912.444200933236</v>
      </c>
      <c r="L751" s="30">
        <v>30555.210000000017</v>
      </c>
      <c r="M751" s="29">
        <v>3.6398723417279744E8</v>
      </c>
      <c r="N751" s="31" t="s">
        <v>853</v>
      </c>
      <c r="O751" s="32"/>
      <c r="P751" s="33" t="str">
        <f t="array" ref="P751">IFERROR(
HYPERLINK(
"https://drive.google.com/file/d/"&amp;
XLOOKUP(O751,'Hoa-Don'!A:A,'Hoa-Don'!D:D)
&amp;"/view",
"🔎"
),
""
)</f>
        <v/>
      </c>
    </row>
    <row r="752" ht="22.5" customHeight="1">
      <c r="A752" s="21">
        <v>751.0</v>
      </c>
      <c r="B752" s="22">
        <v>43818.0</v>
      </c>
      <c r="C752" s="23">
        <v>377.0</v>
      </c>
      <c r="D752" s="24" t="s">
        <v>115</v>
      </c>
      <c r="E752" s="35" t="s">
        <v>18</v>
      </c>
      <c r="F752" s="26"/>
      <c r="G752" s="36" t="s">
        <v>42</v>
      </c>
      <c r="H752" s="28">
        <v>142.7</v>
      </c>
      <c r="I752" s="28">
        <v>11912.444200933236</v>
      </c>
      <c r="J752" s="29">
        <v>1699905.7874731726</v>
      </c>
      <c r="K752" s="29">
        <v>11912.444200933236</v>
      </c>
      <c r="L752" s="30">
        <v>30412.510000000017</v>
      </c>
      <c r="M752" s="29">
        <v>3.6228732838532424E8</v>
      </c>
      <c r="N752" s="31" t="s">
        <v>854</v>
      </c>
      <c r="O752" s="32"/>
      <c r="P752" s="33" t="str">
        <f t="array" ref="P752">IFERROR(
HYPERLINK(
"https://drive.google.com/file/d/"&amp;
XLOOKUP(O752,'Hoa-Don'!A:A,'Hoa-Don'!D:D)
&amp;"/view",
"🔎"
),
""
)</f>
        <v/>
      </c>
    </row>
    <row r="753" ht="22.5" customHeight="1">
      <c r="A753" s="21">
        <v>752.0</v>
      </c>
      <c r="B753" s="22">
        <v>43818.0</v>
      </c>
      <c r="C753" s="23">
        <v>377.0</v>
      </c>
      <c r="D753" s="24" t="s">
        <v>115</v>
      </c>
      <c r="E753" s="35" t="s">
        <v>18</v>
      </c>
      <c r="F753" s="26"/>
      <c r="G753" s="36" t="s">
        <v>42</v>
      </c>
      <c r="H753" s="28">
        <v>922.0</v>
      </c>
      <c r="I753" s="28">
        <v>11912.444200933236</v>
      </c>
      <c r="J753" s="29">
        <v>1.0983273553260444E7</v>
      </c>
      <c r="K753" s="29">
        <v>11912.444200933236</v>
      </c>
      <c r="L753" s="30">
        <v>29490.510000000017</v>
      </c>
      <c r="M753" s="29">
        <v>3.513040548320638E8</v>
      </c>
      <c r="N753" s="31" t="s">
        <v>855</v>
      </c>
      <c r="O753" s="32"/>
      <c r="P753" s="33" t="str">
        <f t="array" ref="P753">IFERROR(
HYPERLINK(
"https://drive.google.com/file/d/"&amp;
XLOOKUP(O753,'Hoa-Don'!A:A,'Hoa-Don'!D:D)
&amp;"/view",
"🔎"
),
""
)</f>
        <v/>
      </c>
    </row>
    <row r="754" ht="22.5" customHeight="1">
      <c r="A754" s="21">
        <v>753.0</v>
      </c>
      <c r="B754" s="22">
        <v>43818.0</v>
      </c>
      <c r="C754" s="23">
        <v>378.0</v>
      </c>
      <c r="D754" s="24" t="s">
        <v>845</v>
      </c>
      <c r="E754" s="35" t="s">
        <v>18</v>
      </c>
      <c r="F754" s="26"/>
      <c r="G754" s="36" t="s">
        <v>42</v>
      </c>
      <c r="H754" s="28">
        <v>1000.0</v>
      </c>
      <c r="I754" s="28">
        <v>11912.444200933236</v>
      </c>
      <c r="J754" s="29">
        <v>1.1912444200933237E7</v>
      </c>
      <c r="K754" s="29">
        <v>11912.444200933236</v>
      </c>
      <c r="L754" s="30">
        <v>28490.510000000017</v>
      </c>
      <c r="M754" s="29">
        <v>3.393916106311306E8</v>
      </c>
      <c r="N754" s="31" t="s">
        <v>856</v>
      </c>
      <c r="O754" s="32"/>
      <c r="P754" s="33" t="str">
        <f t="array" ref="P754">IFERROR(
HYPERLINK(
"https://drive.google.com/file/d/"&amp;
XLOOKUP(O754,'Hoa-Don'!A:A,'Hoa-Don'!D:D)
&amp;"/view",
"🔎"
),
""
)</f>
        <v/>
      </c>
    </row>
    <row r="755" ht="22.5" customHeight="1">
      <c r="A755" s="21">
        <v>754.0</v>
      </c>
      <c r="B755" s="22">
        <v>43819.0</v>
      </c>
      <c r="C755" s="23">
        <v>379.0</v>
      </c>
      <c r="D755" s="24" t="s">
        <v>845</v>
      </c>
      <c r="E755" s="35" t="s">
        <v>18</v>
      </c>
      <c r="F755" s="26"/>
      <c r="G755" s="36" t="s">
        <v>42</v>
      </c>
      <c r="H755" s="28">
        <v>500.0</v>
      </c>
      <c r="I755" s="28">
        <v>11912.444200933236</v>
      </c>
      <c r="J755" s="29">
        <v>5956222.100466618</v>
      </c>
      <c r="K755" s="29">
        <v>11912.444200933236</v>
      </c>
      <c r="L755" s="30">
        <v>27990.510000000017</v>
      </c>
      <c r="M755" s="29">
        <v>3.3343538853066397E8</v>
      </c>
      <c r="N755" s="31" t="s">
        <v>857</v>
      </c>
      <c r="O755" s="32"/>
      <c r="P755" s="33" t="str">
        <f t="array" ref="P755">IFERROR(
HYPERLINK(
"https://drive.google.com/file/d/"&amp;
XLOOKUP(O755,'Hoa-Don'!A:A,'Hoa-Don'!D:D)
&amp;"/view",
"🔎"
),
""
)</f>
        <v/>
      </c>
    </row>
    <row r="756" ht="22.5" customHeight="1">
      <c r="A756" s="21">
        <v>755.0</v>
      </c>
      <c r="B756" s="22">
        <v>43819.0</v>
      </c>
      <c r="C756" s="23">
        <v>379.0</v>
      </c>
      <c r="D756" s="24" t="s">
        <v>845</v>
      </c>
      <c r="E756" s="35" t="s">
        <v>18</v>
      </c>
      <c r="F756" s="26"/>
      <c r="G756" s="36" t="s">
        <v>42</v>
      </c>
      <c r="H756" s="28">
        <v>105.0</v>
      </c>
      <c r="I756" s="28">
        <v>11912.444200933236</v>
      </c>
      <c r="J756" s="29">
        <v>1250806.6410979899</v>
      </c>
      <c r="K756" s="29">
        <v>11912.444200933236</v>
      </c>
      <c r="L756" s="30">
        <v>27885.510000000017</v>
      </c>
      <c r="M756" s="29">
        <v>3.3218458188956594E8</v>
      </c>
      <c r="N756" s="31" t="s">
        <v>858</v>
      </c>
      <c r="O756" s="32"/>
      <c r="P756" s="33" t="str">
        <f t="array" ref="P756">IFERROR(
HYPERLINK(
"https://drive.google.com/file/d/"&amp;
XLOOKUP(O756,'Hoa-Don'!A:A,'Hoa-Don'!D:D)
&amp;"/view",
"🔎"
),
""
)</f>
        <v/>
      </c>
    </row>
    <row r="757" ht="22.5" customHeight="1">
      <c r="A757" s="21">
        <v>756.0</v>
      </c>
      <c r="B757" s="22">
        <v>43820.0</v>
      </c>
      <c r="C757" s="23">
        <v>380.0</v>
      </c>
      <c r="D757" s="24" t="s">
        <v>130</v>
      </c>
      <c r="E757" s="25" t="s">
        <v>11</v>
      </c>
      <c r="F757" s="26"/>
      <c r="G757" s="36" t="s">
        <v>42</v>
      </c>
      <c r="H757" s="28">
        <v>90.0</v>
      </c>
      <c r="I757" s="28">
        <v>13574.849238499482</v>
      </c>
      <c r="J757" s="29">
        <v>1221736.4314649533</v>
      </c>
      <c r="K757" s="29">
        <v>13574.849238499482</v>
      </c>
      <c r="L757" s="30">
        <v>43281.69999999998</v>
      </c>
      <c r="M757" s="29">
        <v>5.875425522859628E8</v>
      </c>
      <c r="N757" s="31" t="s">
        <v>859</v>
      </c>
      <c r="O757" s="32"/>
      <c r="P757" s="33" t="str">
        <f t="array" ref="P757">IFERROR(
HYPERLINK(
"https://drive.google.com/file/d/"&amp;
XLOOKUP(O757,'Hoa-Don'!A:A,'Hoa-Don'!D:D)
&amp;"/view",
"🔎"
),
""
)</f>
        <v/>
      </c>
    </row>
    <row r="758" ht="22.5" customHeight="1">
      <c r="A758" s="21">
        <v>757.0</v>
      </c>
      <c r="B758" s="22">
        <v>43822.0</v>
      </c>
      <c r="C758" s="23">
        <v>49.0</v>
      </c>
      <c r="D758" s="24" t="s">
        <v>402</v>
      </c>
      <c r="E758" s="35" t="s">
        <v>18</v>
      </c>
      <c r="F758" s="26"/>
      <c r="G758" s="27" t="s">
        <v>38</v>
      </c>
      <c r="H758" s="28">
        <v>3410.0</v>
      </c>
      <c r="I758" s="28">
        <v>11011.73</v>
      </c>
      <c r="J758" s="29">
        <v>3.75499993E7</v>
      </c>
      <c r="K758" s="29">
        <v>11814.301194949874</v>
      </c>
      <c r="L758" s="30">
        <v>31295.510000000017</v>
      </c>
      <c r="M758" s="29">
        <v>3.6973458118956596E8</v>
      </c>
      <c r="N758" s="31" t="s">
        <v>860</v>
      </c>
      <c r="O758" s="32"/>
      <c r="P758" s="33" t="str">
        <f t="array" ref="P758">IFERROR(
HYPERLINK(
"https://drive.google.com/file/d/"&amp;
XLOOKUP(O758,'Hoa-Don'!A:A,'Hoa-Don'!D:D)
&amp;"/view",
"🔎"
),
""
)</f>
        <v/>
      </c>
    </row>
    <row r="759" ht="22.5" customHeight="1">
      <c r="A759" s="21">
        <v>758.0</v>
      </c>
      <c r="B759" s="22">
        <v>43823.0</v>
      </c>
      <c r="C759" s="23">
        <v>1262.0</v>
      </c>
      <c r="D759" s="24" t="s">
        <v>253</v>
      </c>
      <c r="E759" s="39" t="s">
        <v>9</v>
      </c>
      <c r="F759" s="26"/>
      <c r="G759" s="27" t="s">
        <v>38</v>
      </c>
      <c r="H759" s="28">
        <v>556.0</v>
      </c>
      <c r="I759" s="28">
        <v>12272.73</v>
      </c>
      <c r="J759" s="29">
        <v>6823637.88</v>
      </c>
      <c r="K759" s="29">
        <v>12272.73</v>
      </c>
      <c r="L759" s="30">
        <v>556.0</v>
      </c>
      <c r="M759" s="29">
        <v>6823637.88</v>
      </c>
      <c r="N759" s="31" t="s">
        <v>861</v>
      </c>
      <c r="O759" s="32"/>
      <c r="P759" s="33" t="str">
        <f t="array" ref="P759">IFERROR(
HYPERLINK(
"https://drive.google.com/file/d/"&amp;
XLOOKUP(O759,'Hoa-Don'!A:A,'Hoa-Don'!D:D)
&amp;"/view",
"🔎"
),
""
)</f>
        <v/>
      </c>
    </row>
    <row r="760" ht="22.5" customHeight="1">
      <c r="A760" s="21">
        <v>759.0</v>
      </c>
      <c r="B760" s="22">
        <v>43823.0</v>
      </c>
      <c r="C760" s="23">
        <v>1262.0</v>
      </c>
      <c r="D760" s="24" t="s">
        <v>253</v>
      </c>
      <c r="E760" s="25" t="s">
        <v>11</v>
      </c>
      <c r="F760" s="26"/>
      <c r="G760" s="27" t="s">
        <v>38</v>
      </c>
      <c r="H760" s="28">
        <v>1684.0</v>
      </c>
      <c r="I760" s="28">
        <v>13636.36</v>
      </c>
      <c r="J760" s="29">
        <v>2.2963630240000002E7</v>
      </c>
      <c r="K760" s="29">
        <v>13577.152863759778</v>
      </c>
      <c r="L760" s="30">
        <v>44965.69999999998</v>
      </c>
      <c r="M760" s="29">
        <v>6.105061825259628E8</v>
      </c>
      <c r="N760" s="31" t="s">
        <v>862</v>
      </c>
      <c r="O760" s="32"/>
      <c r="P760" s="33" t="str">
        <f t="array" ref="P760">IFERROR(
HYPERLINK(
"https://drive.google.com/file/d/"&amp;
XLOOKUP(O760,'Hoa-Don'!A:A,'Hoa-Don'!D:D)
&amp;"/view",
"🔎"
),
""
)</f>
        <v/>
      </c>
    </row>
    <row r="761" ht="22.5" customHeight="1">
      <c r="A761" s="21">
        <v>760.0</v>
      </c>
      <c r="B761" s="22">
        <v>43823.0</v>
      </c>
      <c r="C761" s="23">
        <v>1262.0</v>
      </c>
      <c r="D761" s="24" t="s">
        <v>253</v>
      </c>
      <c r="E761" s="25" t="s">
        <v>11</v>
      </c>
      <c r="F761" s="26"/>
      <c r="G761" s="27" t="s">
        <v>38</v>
      </c>
      <c r="H761" s="28">
        <v>1666.0</v>
      </c>
      <c r="I761" s="28">
        <v>13636.36</v>
      </c>
      <c r="J761" s="29">
        <v>2.271817576E7</v>
      </c>
      <c r="K761" s="29">
        <v>13579.268143472424</v>
      </c>
      <c r="L761" s="30">
        <v>46631.69999999998</v>
      </c>
      <c r="M761" s="29">
        <v>6.332243582859628E8</v>
      </c>
      <c r="N761" s="31" t="s">
        <v>863</v>
      </c>
      <c r="O761" s="32"/>
      <c r="P761" s="33" t="str">
        <f t="array" ref="P761">IFERROR(
HYPERLINK(
"https://drive.google.com/file/d/"&amp;
XLOOKUP(O761,'Hoa-Don'!A:A,'Hoa-Don'!D:D)
&amp;"/view",
"🔎"
),
""
)</f>
        <v/>
      </c>
    </row>
    <row r="762" ht="22.5" customHeight="1">
      <c r="A762" s="21">
        <v>761.0</v>
      </c>
      <c r="B762" s="22">
        <v>43824.0</v>
      </c>
      <c r="C762" s="23">
        <v>381.0</v>
      </c>
      <c r="D762" s="24" t="s">
        <v>864</v>
      </c>
      <c r="E762" s="25" t="s">
        <v>11</v>
      </c>
      <c r="F762" s="26"/>
      <c r="G762" s="36" t="s">
        <v>42</v>
      </c>
      <c r="H762" s="28">
        <v>1200.0</v>
      </c>
      <c r="I762" s="28">
        <v>13579.268143472424</v>
      </c>
      <c r="J762" s="29">
        <v>1.6295121772166908E7</v>
      </c>
      <c r="K762" s="29">
        <v>13579.268143472424</v>
      </c>
      <c r="L762" s="30">
        <v>45431.69999999998</v>
      </c>
      <c r="M762" s="29">
        <v>6.169292365137959E8</v>
      </c>
      <c r="N762" s="31" t="s">
        <v>865</v>
      </c>
      <c r="O762" s="32"/>
      <c r="P762" s="33" t="str">
        <f t="array" ref="P762">IFERROR(
HYPERLINK(
"https://drive.google.com/file/d/"&amp;
XLOOKUP(O762,'Hoa-Don'!A:A,'Hoa-Don'!D:D)
&amp;"/view",
"🔎"
),
""
)</f>
        <v/>
      </c>
    </row>
    <row r="763" ht="22.5" customHeight="1">
      <c r="A763" s="21">
        <v>762.0</v>
      </c>
      <c r="B763" s="22">
        <v>43825.0</v>
      </c>
      <c r="C763" s="23">
        <v>382.0</v>
      </c>
      <c r="D763" s="24" t="s">
        <v>864</v>
      </c>
      <c r="E763" s="25" t="s">
        <v>11</v>
      </c>
      <c r="F763" s="26"/>
      <c r="G763" s="36" t="s">
        <v>42</v>
      </c>
      <c r="H763" s="28">
        <v>484.0</v>
      </c>
      <c r="I763" s="28">
        <v>13579.268143472424</v>
      </c>
      <c r="J763" s="29">
        <v>6572365.781440653</v>
      </c>
      <c r="K763" s="29">
        <v>13579.268143472424</v>
      </c>
      <c r="L763" s="30">
        <v>44947.69999999998</v>
      </c>
      <c r="M763" s="29">
        <v>6.103568707323552E8</v>
      </c>
      <c r="N763" s="31" t="s">
        <v>866</v>
      </c>
      <c r="O763" s="32"/>
      <c r="P763" s="33" t="str">
        <f t="array" ref="P763">IFERROR(
HYPERLINK(
"https://drive.google.com/file/d/"&amp;
XLOOKUP(O763,'Hoa-Don'!A:A,'Hoa-Don'!D:D)
&amp;"/view",
"🔎"
),
""
)</f>
        <v/>
      </c>
    </row>
    <row r="764" ht="22.5" customHeight="1">
      <c r="A764" s="21">
        <v>763.0</v>
      </c>
      <c r="B764" s="22">
        <v>43825.0</v>
      </c>
      <c r="C764" s="23">
        <v>382.0</v>
      </c>
      <c r="D764" s="24" t="s">
        <v>864</v>
      </c>
      <c r="E764" s="25" t="s">
        <v>11</v>
      </c>
      <c r="F764" s="26"/>
      <c r="G764" s="36" t="s">
        <v>42</v>
      </c>
      <c r="H764" s="28">
        <v>486.0</v>
      </c>
      <c r="I764" s="28">
        <v>13579.268143472424</v>
      </c>
      <c r="J764" s="29">
        <v>6599524.317727597</v>
      </c>
      <c r="K764" s="29">
        <v>13579.268143472424</v>
      </c>
      <c r="L764" s="30">
        <v>44461.69999999998</v>
      </c>
      <c r="M764" s="29">
        <v>6.037573464146277E8</v>
      </c>
      <c r="N764" s="31" t="s">
        <v>867</v>
      </c>
      <c r="O764" s="32"/>
      <c r="P764" s="33" t="str">
        <f t="array" ref="P764">IFERROR(
HYPERLINK(
"https://drive.google.com/file/d/"&amp;
XLOOKUP(O764,'Hoa-Don'!A:A,'Hoa-Don'!D:D)
&amp;"/view",
"🔎"
),
""
)</f>
        <v/>
      </c>
    </row>
    <row r="765" ht="22.5" customHeight="1">
      <c r="A765" s="21">
        <v>764.0</v>
      </c>
      <c r="B765" s="22">
        <v>43825.0</v>
      </c>
      <c r="C765" s="23">
        <v>383.0</v>
      </c>
      <c r="D765" s="24" t="s">
        <v>130</v>
      </c>
      <c r="E765" s="35" t="s">
        <v>18</v>
      </c>
      <c r="F765" s="26"/>
      <c r="G765" s="36" t="s">
        <v>42</v>
      </c>
      <c r="H765" s="28">
        <v>75.0</v>
      </c>
      <c r="I765" s="28">
        <v>11814.301194949874</v>
      </c>
      <c r="J765" s="29">
        <v>886072.5896212405</v>
      </c>
      <c r="K765" s="29">
        <v>11814.301194949874</v>
      </c>
      <c r="L765" s="30">
        <v>31220.510000000017</v>
      </c>
      <c r="M765" s="29">
        <v>3.688485085999447E8</v>
      </c>
      <c r="N765" s="31" t="s">
        <v>868</v>
      </c>
      <c r="O765" s="32"/>
      <c r="P765" s="33" t="str">
        <f t="array" ref="P765">IFERROR(
HYPERLINK(
"https://drive.google.com/file/d/"&amp;
XLOOKUP(O765,'Hoa-Don'!A:A,'Hoa-Don'!D:D)
&amp;"/view",
"🔎"
),
""
)</f>
        <v/>
      </c>
    </row>
    <row r="766" ht="22.5" customHeight="1">
      <c r="A766" s="21">
        <v>765.0</v>
      </c>
      <c r="B766" s="22">
        <v>43827.0</v>
      </c>
      <c r="C766" s="23">
        <v>384.0</v>
      </c>
      <c r="D766" s="24" t="s">
        <v>864</v>
      </c>
      <c r="E766" s="25" t="s">
        <v>11</v>
      </c>
      <c r="F766" s="26"/>
      <c r="G766" s="36" t="s">
        <v>42</v>
      </c>
      <c r="H766" s="28">
        <v>1180.0</v>
      </c>
      <c r="I766" s="28">
        <v>13579.268143472424</v>
      </c>
      <c r="J766" s="29">
        <v>1.602353640929746E7</v>
      </c>
      <c r="K766" s="29">
        <v>13579.268143472424</v>
      </c>
      <c r="L766" s="30">
        <v>43281.69999999998</v>
      </c>
      <c r="M766" s="29">
        <v>5.877338100053302E8</v>
      </c>
      <c r="N766" s="31" t="s">
        <v>869</v>
      </c>
      <c r="O766" s="32"/>
      <c r="P766" s="33" t="str">
        <f t="array" ref="P766">IFERROR(
HYPERLINK(
"https://drive.google.com/file/d/"&amp;
XLOOKUP(O766,'Hoa-Don'!A:A,'Hoa-Don'!D:D)
&amp;"/view",
"🔎"
),
""
)</f>
        <v/>
      </c>
    </row>
    <row r="767" ht="22.5" customHeight="1">
      <c r="A767" s="21">
        <v>766.0</v>
      </c>
      <c r="B767" s="22">
        <v>43828.0</v>
      </c>
      <c r="C767" s="23">
        <v>385.0</v>
      </c>
      <c r="D767" s="24" t="s">
        <v>864</v>
      </c>
      <c r="E767" s="39" t="s">
        <v>9</v>
      </c>
      <c r="F767" s="26"/>
      <c r="G767" s="36" t="s">
        <v>42</v>
      </c>
      <c r="H767" s="28">
        <v>500.5</v>
      </c>
      <c r="I767" s="28">
        <v>12272.73</v>
      </c>
      <c r="J767" s="29">
        <v>6142501.365</v>
      </c>
      <c r="K767" s="29">
        <v>12272.73</v>
      </c>
      <c r="L767" s="30">
        <v>55.5</v>
      </c>
      <c r="M767" s="29">
        <v>681136.515</v>
      </c>
      <c r="N767" s="31" t="s">
        <v>870</v>
      </c>
      <c r="O767" s="32"/>
      <c r="P767" s="33" t="str">
        <f t="array" ref="P767">IFERROR(
HYPERLINK(
"https://drive.google.com/file/d/"&amp;
XLOOKUP(O767,'Hoa-Don'!A:A,'Hoa-Don'!D:D)
&amp;"/view",
"🔎"
),
""
)</f>
        <v/>
      </c>
    </row>
    <row r="768" ht="22.5" customHeight="1">
      <c r="A768" s="21">
        <v>767.0</v>
      </c>
      <c r="B768" s="22">
        <v>43828.0</v>
      </c>
      <c r="C768" s="23">
        <v>385.0</v>
      </c>
      <c r="D768" s="24" t="s">
        <v>864</v>
      </c>
      <c r="E768" s="25" t="s">
        <v>11</v>
      </c>
      <c r="F768" s="26"/>
      <c r="G768" s="36" t="s">
        <v>42</v>
      </c>
      <c r="H768" s="28">
        <v>24.6</v>
      </c>
      <c r="I768" s="28">
        <v>13579.268143472424</v>
      </c>
      <c r="J768" s="29">
        <v>334049.99632942164</v>
      </c>
      <c r="K768" s="29">
        <v>13579.268143472424</v>
      </c>
      <c r="L768" s="30">
        <v>43257.099999999984</v>
      </c>
      <c r="M768" s="29">
        <v>5.873997600090008E8</v>
      </c>
      <c r="N768" s="31" t="s">
        <v>871</v>
      </c>
      <c r="O768" s="32"/>
      <c r="P768" s="33" t="str">
        <f t="array" ref="P768">IFERROR(
HYPERLINK(
"https://drive.google.com/file/d/"&amp;
XLOOKUP(O768,'Hoa-Don'!A:A,'Hoa-Don'!D:D)
&amp;"/view",
"🔎"
),
""
)</f>
        <v/>
      </c>
    </row>
    <row r="769" ht="22.5" customHeight="1">
      <c r="A769" s="21">
        <v>768.0</v>
      </c>
      <c r="B769" s="22">
        <v>43829.0</v>
      </c>
      <c r="C769" s="23">
        <v>386.0</v>
      </c>
      <c r="D769" s="24" t="s">
        <v>864</v>
      </c>
      <c r="E769" s="25" t="s">
        <v>11</v>
      </c>
      <c r="F769" s="26"/>
      <c r="G769" s="36" t="s">
        <v>42</v>
      </c>
      <c r="H769" s="28">
        <v>369.0</v>
      </c>
      <c r="I769" s="28">
        <v>13579.268143472424</v>
      </c>
      <c r="J769" s="29">
        <v>5010749.944941324</v>
      </c>
      <c r="K769" s="29">
        <v>13579.268143472424</v>
      </c>
      <c r="L769" s="30">
        <v>42888.099999999984</v>
      </c>
      <c r="M769" s="29">
        <v>5.823890100640594E8</v>
      </c>
      <c r="N769" s="31" t="s">
        <v>872</v>
      </c>
      <c r="O769" s="32"/>
      <c r="P769" s="33" t="str">
        <f t="array" ref="P769">IFERROR(
HYPERLINK(
"https://drive.google.com/file/d/"&amp;
XLOOKUP(O769,'Hoa-Don'!A:A,'Hoa-Don'!D:D)
&amp;"/view",
"🔎"
),
""
)</f>
        <v/>
      </c>
    </row>
    <row r="770" ht="22.5" customHeight="1">
      <c r="A770" s="21">
        <v>769.0</v>
      </c>
      <c r="B770" s="22">
        <v>43830.0</v>
      </c>
      <c r="C770" s="23">
        <v>387.0</v>
      </c>
      <c r="D770" s="24" t="s">
        <v>130</v>
      </c>
      <c r="E770" s="25" t="s">
        <v>11</v>
      </c>
      <c r="F770" s="26"/>
      <c r="G770" s="36" t="s">
        <v>42</v>
      </c>
      <c r="H770" s="28">
        <v>100.0</v>
      </c>
      <c r="I770" s="28">
        <v>13579.268143472424</v>
      </c>
      <c r="J770" s="29">
        <v>1357926.8143472425</v>
      </c>
      <c r="K770" s="29">
        <v>13579.268143472424</v>
      </c>
      <c r="L770" s="30">
        <v>42788.099999999984</v>
      </c>
      <c r="M770" s="29">
        <v>5.810310832497122E8</v>
      </c>
      <c r="N770" s="31" t="s">
        <v>873</v>
      </c>
      <c r="O770" s="32"/>
      <c r="P770" s="33" t="str">
        <f t="array" ref="P770">IFERROR(
HYPERLINK(
"https://drive.google.com/file/d/"&amp;
XLOOKUP(O770,'Hoa-Don'!A:A,'Hoa-Don'!D:D)
&amp;"/view",
"🔎"
),
""
)</f>
        <v/>
      </c>
    </row>
    <row r="771" ht="22.5" customHeight="1">
      <c r="A771" s="21">
        <v>770.0</v>
      </c>
      <c r="B771" s="22">
        <v>43878.0</v>
      </c>
      <c r="C771" s="23">
        <v>170.0</v>
      </c>
      <c r="D771" s="24" t="s">
        <v>402</v>
      </c>
      <c r="E771" s="35" t="s">
        <v>18</v>
      </c>
      <c r="F771" s="26"/>
      <c r="G771" s="27" t="s">
        <v>38</v>
      </c>
      <c r="H771" s="28">
        <v>2540.0</v>
      </c>
      <c r="I771" s="28">
        <v>11090.91</v>
      </c>
      <c r="J771" s="29">
        <v>2.81709114E7</v>
      </c>
      <c r="K771" s="29">
        <v>11759.876257791855</v>
      </c>
      <c r="L771" s="30">
        <v>33760.51000000002</v>
      </c>
      <c r="M771" s="29">
        <v>3.970194199999447E8</v>
      </c>
      <c r="N771" s="31" t="s">
        <v>874</v>
      </c>
      <c r="O771" s="32"/>
      <c r="P771" s="33" t="str">
        <f t="array" ref="P771">IFERROR(
HYPERLINK(
"https://drive.google.com/file/d/"&amp;
XLOOKUP(O771,'Hoa-Don'!A:A,'Hoa-Don'!D:D)
&amp;"/view",
"🔎"
),
""
)</f>
        <v/>
      </c>
    </row>
    <row r="772" ht="22.5" customHeight="1">
      <c r="A772" s="21">
        <v>771.0</v>
      </c>
      <c r="B772" s="22">
        <v>43900.0</v>
      </c>
      <c r="C772" s="23">
        <v>388.0</v>
      </c>
      <c r="D772" s="24" t="s">
        <v>845</v>
      </c>
      <c r="E772" s="35" t="s">
        <v>18</v>
      </c>
      <c r="F772" s="26"/>
      <c r="G772" s="36" t="s">
        <v>42</v>
      </c>
      <c r="H772" s="28">
        <v>20.0</v>
      </c>
      <c r="I772" s="28">
        <v>11759.876257791855</v>
      </c>
      <c r="J772" s="29">
        <v>235197.5251558371</v>
      </c>
      <c r="K772" s="29">
        <v>11759.876257791855</v>
      </c>
      <c r="L772" s="30">
        <v>33740.51000000002</v>
      </c>
      <c r="M772" s="29">
        <v>3.9678422247478884E8</v>
      </c>
      <c r="N772" s="31" t="s">
        <v>875</v>
      </c>
      <c r="O772" s="32"/>
      <c r="P772" s="33" t="str">
        <f t="array" ref="P772">IFERROR(
HYPERLINK(
"https://drive.google.com/file/d/"&amp;
XLOOKUP(O772,'Hoa-Don'!A:A,'Hoa-Don'!D:D)
&amp;"/view",
"🔎"
),
""
)</f>
        <v/>
      </c>
    </row>
    <row r="773" ht="22.5" customHeight="1">
      <c r="A773" s="21">
        <v>772.0</v>
      </c>
      <c r="B773" s="22">
        <v>43900.0</v>
      </c>
      <c r="C773" s="23">
        <v>388.0</v>
      </c>
      <c r="D773" s="24" t="s">
        <v>845</v>
      </c>
      <c r="E773" s="25" t="s">
        <v>11</v>
      </c>
      <c r="F773" s="26"/>
      <c r="G773" s="36" t="s">
        <v>42</v>
      </c>
      <c r="H773" s="28">
        <v>105.0</v>
      </c>
      <c r="I773" s="28">
        <v>13579.268143472424</v>
      </c>
      <c r="J773" s="29">
        <v>1425823.1550646045</v>
      </c>
      <c r="K773" s="29">
        <v>13579.268143472424</v>
      </c>
      <c r="L773" s="30">
        <v>42683.099999999984</v>
      </c>
      <c r="M773" s="29">
        <v>5.796052600946476E8</v>
      </c>
      <c r="N773" s="31" t="s">
        <v>876</v>
      </c>
      <c r="O773" s="32"/>
      <c r="P773" s="33" t="str">
        <f t="array" ref="P773">IFERROR(
HYPERLINK(
"https://drive.google.com/file/d/"&amp;
XLOOKUP(O773,'Hoa-Don'!A:A,'Hoa-Don'!D:D)
&amp;"/view",
"🔎"
),
""
)</f>
        <v/>
      </c>
    </row>
    <row r="774" ht="22.5" customHeight="1">
      <c r="A774" s="21">
        <v>773.0</v>
      </c>
      <c r="B774" s="22">
        <v>43908.0</v>
      </c>
      <c r="C774" s="23">
        <v>389.0</v>
      </c>
      <c r="D774" s="24" t="s">
        <v>877</v>
      </c>
      <c r="E774" s="35" t="s">
        <v>18</v>
      </c>
      <c r="F774" s="26"/>
      <c r="G774" s="36" t="s">
        <v>42</v>
      </c>
      <c r="H774" s="28">
        <v>602.0</v>
      </c>
      <c r="I774" s="28">
        <v>11759.876257791855</v>
      </c>
      <c r="J774" s="29">
        <v>7079445.507190697</v>
      </c>
      <c r="K774" s="29">
        <v>11759.876257791855</v>
      </c>
      <c r="L774" s="30">
        <v>33138.51000000002</v>
      </c>
      <c r="M774" s="29">
        <v>3.8970477696759814E8</v>
      </c>
      <c r="N774" s="31" t="s">
        <v>878</v>
      </c>
      <c r="O774" s="32"/>
      <c r="P774" s="33" t="str">
        <f t="array" ref="P774">IFERROR(
HYPERLINK(
"https://drive.google.com/file/d/"&amp;
XLOOKUP(O774,'Hoa-Don'!A:A,'Hoa-Don'!D:D)
&amp;"/view",
"🔎"
),
""
)</f>
        <v/>
      </c>
    </row>
    <row r="775" ht="22.5" customHeight="1">
      <c r="A775" s="21">
        <v>774.0</v>
      </c>
      <c r="B775" s="22">
        <v>43911.0</v>
      </c>
      <c r="C775" s="23">
        <v>393.0</v>
      </c>
      <c r="D775" s="24" t="s">
        <v>115</v>
      </c>
      <c r="E775" s="35" t="s">
        <v>18</v>
      </c>
      <c r="F775" s="26"/>
      <c r="G775" s="36" t="s">
        <v>42</v>
      </c>
      <c r="H775" s="28">
        <v>179.0</v>
      </c>
      <c r="I775" s="28">
        <v>11759.876257791855</v>
      </c>
      <c r="J775" s="29">
        <v>2105017.850144742</v>
      </c>
      <c r="K775" s="29">
        <v>11759.876257791855</v>
      </c>
      <c r="L775" s="30">
        <v>32959.51000000002</v>
      </c>
      <c r="M775" s="29">
        <v>3.875997591174534E8</v>
      </c>
      <c r="N775" s="31" t="s">
        <v>879</v>
      </c>
      <c r="O775" s="32"/>
      <c r="P775" s="33" t="str">
        <f t="array" ref="P775">IFERROR(
HYPERLINK(
"https://drive.google.com/file/d/"&amp;
XLOOKUP(O775,'Hoa-Don'!A:A,'Hoa-Don'!D:D)
&amp;"/view",
"🔎"
),
""
)</f>
        <v/>
      </c>
    </row>
    <row r="776" ht="22.5" customHeight="1">
      <c r="A776" s="21">
        <v>775.0</v>
      </c>
      <c r="B776" s="22">
        <v>43911.0</v>
      </c>
      <c r="C776" s="23">
        <v>393.0</v>
      </c>
      <c r="D776" s="24" t="s">
        <v>115</v>
      </c>
      <c r="E776" s="25" t="s">
        <v>11</v>
      </c>
      <c r="F776" s="26"/>
      <c r="G776" s="36" t="s">
        <v>42</v>
      </c>
      <c r="H776" s="28">
        <v>1065.0</v>
      </c>
      <c r="I776" s="28">
        <v>13579.268143472424</v>
      </c>
      <c r="J776" s="29">
        <v>1.4461920572798131E7</v>
      </c>
      <c r="K776" s="29">
        <v>13579.268143472424</v>
      </c>
      <c r="L776" s="30">
        <v>41618.099999999984</v>
      </c>
      <c r="M776" s="29">
        <v>5.651433395218495E8</v>
      </c>
      <c r="N776" s="31" t="s">
        <v>880</v>
      </c>
      <c r="O776" s="32"/>
      <c r="P776" s="33" t="str">
        <f t="array" ref="P776">IFERROR(
HYPERLINK(
"https://drive.google.com/file/d/"&amp;
XLOOKUP(O776,'Hoa-Don'!A:A,'Hoa-Don'!D:D)
&amp;"/view",
"🔎"
),
""
)</f>
        <v/>
      </c>
    </row>
    <row r="777" ht="22.5" customHeight="1">
      <c r="A777" s="21">
        <v>776.0</v>
      </c>
      <c r="B777" s="22">
        <v>43915.0</v>
      </c>
      <c r="C777" s="23">
        <v>394.0</v>
      </c>
      <c r="D777" s="24" t="s">
        <v>130</v>
      </c>
      <c r="E777" s="35" t="s">
        <v>18</v>
      </c>
      <c r="F777" s="26"/>
      <c r="G777" s="36" t="s">
        <v>42</v>
      </c>
      <c r="H777" s="28">
        <v>205.0</v>
      </c>
      <c r="I777" s="28">
        <v>11759.876257791855</v>
      </c>
      <c r="J777" s="29">
        <v>2410774.63284733</v>
      </c>
      <c r="K777" s="29">
        <v>11759.876257791855</v>
      </c>
      <c r="L777" s="30">
        <v>32754.510000000017</v>
      </c>
      <c r="M777" s="29">
        <v>3.851889844846061E8</v>
      </c>
      <c r="N777" s="31" t="s">
        <v>881</v>
      </c>
      <c r="O777" s="32"/>
      <c r="P777" s="33" t="str">
        <f t="array" ref="P777">IFERROR(
HYPERLINK(
"https://drive.google.com/file/d/"&amp;
XLOOKUP(O777,'Hoa-Don'!A:A,'Hoa-Don'!D:D)
&amp;"/view",
"🔎"
),
""
)</f>
        <v/>
      </c>
    </row>
    <row r="778" ht="22.5" customHeight="1">
      <c r="A778" s="21">
        <v>777.0</v>
      </c>
      <c r="B778" s="22">
        <v>43921.0</v>
      </c>
      <c r="C778" s="23">
        <v>395.0</v>
      </c>
      <c r="D778" s="24" t="s">
        <v>115</v>
      </c>
      <c r="E778" s="35" t="s">
        <v>18</v>
      </c>
      <c r="F778" s="26"/>
      <c r="G778" s="36" t="s">
        <v>42</v>
      </c>
      <c r="H778" s="28">
        <v>1512.0</v>
      </c>
      <c r="I778" s="28">
        <v>11759.876257791855</v>
      </c>
      <c r="J778" s="29">
        <v>1.7780932901781283E7</v>
      </c>
      <c r="K778" s="29">
        <v>11759.876257791855</v>
      </c>
      <c r="L778" s="30">
        <v>31242.510000000017</v>
      </c>
      <c r="M778" s="29">
        <v>3.674080515828248E8</v>
      </c>
      <c r="N778" s="31" t="s">
        <v>882</v>
      </c>
      <c r="O778" s="32"/>
      <c r="P778" s="33" t="str">
        <f t="array" ref="P778">IFERROR(
HYPERLINK(
"https://drive.google.com/file/d/"&amp;
XLOOKUP(O778,'Hoa-Don'!A:A,'Hoa-Don'!D:D)
&amp;"/view",
"🔎"
),
""
)</f>
        <v/>
      </c>
    </row>
    <row r="779" ht="22.5" customHeight="1">
      <c r="A779" s="21">
        <v>778.0</v>
      </c>
      <c r="B779" s="22">
        <v>43923.0</v>
      </c>
      <c r="C779" s="23">
        <v>396.0</v>
      </c>
      <c r="D779" s="24" t="s">
        <v>877</v>
      </c>
      <c r="E779" s="35" t="s">
        <v>18</v>
      </c>
      <c r="F779" s="26"/>
      <c r="G779" s="36" t="s">
        <v>42</v>
      </c>
      <c r="H779" s="28">
        <v>806.0</v>
      </c>
      <c r="I779" s="28">
        <v>11759.876257791855</v>
      </c>
      <c r="J779" s="29">
        <v>9478460.263780234</v>
      </c>
      <c r="K779" s="29">
        <v>11759.876257791855</v>
      </c>
      <c r="L779" s="30">
        <v>30436.510000000017</v>
      </c>
      <c r="M779" s="29">
        <v>3.579295913190446E8</v>
      </c>
      <c r="N779" s="31" t="s">
        <v>883</v>
      </c>
      <c r="O779" s="32"/>
      <c r="P779" s="33" t="str">
        <f t="array" ref="P779">IFERROR(
HYPERLINK(
"https://drive.google.com/file/d/"&amp;
XLOOKUP(O779,'Hoa-Don'!A:A,'Hoa-Don'!D:D)
&amp;"/view",
"🔎"
),
""
)</f>
        <v/>
      </c>
    </row>
    <row r="780" ht="22.5" customHeight="1">
      <c r="A780" s="21">
        <v>779.0</v>
      </c>
      <c r="B780" s="22">
        <v>43935.0</v>
      </c>
      <c r="C780" s="23">
        <v>397.0</v>
      </c>
      <c r="D780" s="24" t="s">
        <v>115</v>
      </c>
      <c r="E780" s="25" t="s">
        <v>11</v>
      </c>
      <c r="F780" s="26"/>
      <c r="G780" s="36" t="s">
        <v>42</v>
      </c>
      <c r="H780" s="28">
        <v>204.0</v>
      </c>
      <c r="I780" s="28">
        <v>13579.268143472424</v>
      </c>
      <c r="J780" s="29">
        <v>2770170.7012683745</v>
      </c>
      <c r="K780" s="29">
        <v>13579.268143472424</v>
      </c>
      <c r="L780" s="30">
        <v>41414.099999999984</v>
      </c>
      <c r="M780" s="29">
        <v>5.623731688205811E8</v>
      </c>
      <c r="N780" s="31" t="s">
        <v>884</v>
      </c>
      <c r="O780" s="32"/>
      <c r="P780" s="33" t="str">
        <f t="array" ref="P780">IFERROR(
HYPERLINK(
"https://drive.google.com/file/d/"&amp;
XLOOKUP(O780,'Hoa-Don'!A:A,'Hoa-Don'!D:D)
&amp;"/view",
"🔎"
),
""
)</f>
        <v/>
      </c>
    </row>
    <row r="781" ht="22.5" customHeight="1">
      <c r="A781" s="21">
        <v>780.0</v>
      </c>
      <c r="B781" s="22">
        <v>43935.0</v>
      </c>
      <c r="C781" s="23">
        <v>397.0</v>
      </c>
      <c r="D781" s="24" t="s">
        <v>115</v>
      </c>
      <c r="E781" s="25" t="s">
        <v>11</v>
      </c>
      <c r="F781" s="26"/>
      <c r="G781" s="36" t="s">
        <v>42</v>
      </c>
      <c r="H781" s="28">
        <v>115.0</v>
      </c>
      <c r="I781" s="28">
        <v>13579.268143472424</v>
      </c>
      <c r="J781" s="29">
        <v>1561615.8364993287</v>
      </c>
      <c r="K781" s="29">
        <v>13579.268143472424</v>
      </c>
      <c r="L781" s="30">
        <v>41299.099999999984</v>
      </c>
      <c r="M781" s="29">
        <v>5.608115529840817E8</v>
      </c>
      <c r="N781" s="31" t="s">
        <v>885</v>
      </c>
      <c r="O781" s="32"/>
      <c r="P781" s="33" t="str">
        <f t="array" ref="P781">IFERROR(
HYPERLINK(
"https://drive.google.com/file/d/"&amp;
XLOOKUP(O781,'Hoa-Don'!A:A,'Hoa-Don'!D:D)
&amp;"/view",
"🔎"
),
""
)</f>
        <v/>
      </c>
    </row>
    <row r="782" ht="22.5" customHeight="1">
      <c r="A782" s="21">
        <v>781.0</v>
      </c>
      <c r="B782" s="22">
        <v>43935.0</v>
      </c>
      <c r="C782" s="23">
        <v>397.0</v>
      </c>
      <c r="D782" s="24" t="s">
        <v>115</v>
      </c>
      <c r="E782" s="35" t="s">
        <v>18</v>
      </c>
      <c r="F782" s="26"/>
      <c r="G782" s="36" t="s">
        <v>42</v>
      </c>
      <c r="H782" s="28">
        <v>91.0</v>
      </c>
      <c r="I782" s="28">
        <v>11759.876257791855</v>
      </c>
      <c r="J782" s="29">
        <v>1070148.7394590587</v>
      </c>
      <c r="K782" s="29">
        <v>11759.876257791855</v>
      </c>
      <c r="L782" s="30">
        <v>30345.510000000017</v>
      </c>
      <c r="M782" s="29">
        <v>3.568594425795855E8</v>
      </c>
      <c r="N782" s="31" t="s">
        <v>886</v>
      </c>
      <c r="O782" s="32"/>
      <c r="P782" s="33" t="str">
        <f t="array" ref="P782">IFERROR(
HYPERLINK(
"https://drive.google.com/file/d/"&amp;
XLOOKUP(O782,'Hoa-Don'!A:A,'Hoa-Don'!D:D)
&amp;"/view",
"🔎"
),
""
)</f>
        <v/>
      </c>
    </row>
    <row r="783" ht="22.5" customHeight="1">
      <c r="A783" s="21">
        <v>782.0</v>
      </c>
      <c r="B783" s="22">
        <v>43935.0</v>
      </c>
      <c r="C783" s="23">
        <v>397.0</v>
      </c>
      <c r="D783" s="24" t="s">
        <v>115</v>
      </c>
      <c r="E783" s="35" t="s">
        <v>18</v>
      </c>
      <c r="F783" s="26"/>
      <c r="G783" s="36" t="s">
        <v>42</v>
      </c>
      <c r="H783" s="28">
        <v>291.0</v>
      </c>
      <c r="I783" s="28">
        <v>11759.876257791855</v>
      </c>
      <c r="J783" s="29">
        <v>3422123.9910174296</v>
      </c>
      <c r="K783" s="29">
        <v>11759.876257791855</v>
      </c>
      <c r="L783" s="30">
        <v>30054.510000000017</v>
      </c>
      <c r="M783" s="29">
        <v>3.534373185885681E8</v>
      </c>
      <c r="N783" s="31" t="s">
        <v>887</v>
      </c>
      <c r="O783" s="32"/>
      <c r="P783" s="33" t="str">
        <f t="array" ref="P783">IFERROR(
HYPERLINK(
"https://drive.google.com/file/d/"&amp;
XLOOKUP(O783,'Hoa-Don'!A:A,'Hoa-Don'!D:D)
&amp;"/view",
"🔎"
),
""
)</f>
        <v/>
      </c>
    </row>
    <row r="784" ht="22.5" customHeight="1">
      <c r="A784" s="21">
        <v>783.0</v>
      </c>
      <c r="B784" s="22">
        <v>43938.0</v>
      </c>
      <c r="C784" s="23">
        <v>398.0</v>
      </c>
      <c r="D784" s="24" t="s">
        <v>115</v>
      </c>
      <c r="E784" s="35" t="s">
        <v>18</v>
      </c>
      <c r="F784" s="26"/>
      <c r="G784" s="36" t="s">
        <v>42</v>
      </c>
      <c r="H784" s="28">
        <v>882.0</v>
      </c>
      <c r="I784" s="28">
        <v>11759.876257791855</v>
      </c>
      <c r="J784" s="29">
        <v>1.0372210859372417E7</v>
      </c>
      <c r="K784" s="29">
        <v>11759.876257791855</v>
      </c>
      <c r="L784" s="30">
        <v>29172.510000000017</v>
      </c>
      <c r="M784" s="29">
        <v>3.4306510772919565E8</v>
      </c>
      <c r="N784" s="31" t="s">
        <v>888</v>
      </c>
      <c r="O784" s="32"/>
      <c r="P784" s="33" t="str">
        <f t="array" ref="P784">IFERROR(
HYPERLINK(
"https://drive.google.com/file/d/"&amp;
XLOOKUP(O784,'Hoa-Don'!A:A,'Hoa-Don'!D:D)
&amp;"/view",
"🔎"
),
""
)</f>
        <v/>
      </c>
    </row>
    <row r="785" ht="22.5" customHeight="1">
      <c r="A785" s="21">
        <v>784.0</v>
      </c>
      <c r="B785" s="22">
        <v>43939.0</v>
      </c>
      <c r="C785" s="23">
        <v>399.0</v>
      </c>
      <c r="D785" s="24" t="s">
        <v>430</v>
      </c>
      <c r="E785" s="35" t="s">
        <v>18</v>
      </c>
      <c r="F785" s="26"/>
      <c r="G785" s="36" t="s">
        <v>42</v>
      </c>
      <c r="H785" s="28">
        <v>6519.0</v>
      </c>
      <c r="I785" s="28">
        <v>11759.876257791855</v>
      </c>
      <c r="J785" s="29">
        <v>7.66626333245451E7</v>
      </c>
      <c r="K785" s="29">
        <v>11759.876257791855</v>
      </c>
      <c r="L785" s="30">
        <v>22653.510000000017</v>
      </c>
      <c r="M785" s="29">
        <v>2.6640247440465057E8</v>
      </c>
      <c r="N785" s="31" t="s">
        <v>889</v>
      </c>
      <c r="O785" s="32"/>
      <c r="P785" s="33" t="str">
        <f t="array" ref="P785">IFERROR(
HYPERLINK(
"https://drive.google.com/file/d/"&amp;
XLOOKUP(O785,'Hoa-Don'!A:A,'Hoa-Don'!D:D)
&amp;"/view",
"🔎"
),
""
)</f>
        <v/>
      </c>
    </row>
    <row r="786" ht="22.5" customHeight="1">
      <c r="A786" s="21">
        <v>785.0</v>
      </c>
      <c r="B786" s="22">
        <v>43950.0</v>
      </c>
      <c r="C786" s="23">
        <v>400.0</v>
      </c>
      <c r="D786" s="24" t="s">
        <v>115</v>
      </c>
      <c r="E786" s="35" t="s">
        <v>18</v>
      </c>
      <c r="F786" s="26"/>
      <c r="G786" s="36" t="s">
        <v>42</v>
      </c>
      <c r="H786" s="28">
        <v>360.0</v>
      </c>
      <c r="I786" s="28">
        <v>11759.876257791855</v>
      </c>
      <c r="J786" s="29">
        <v>4233555.452805067</v>
      </c>
      <c r="K786" s="29">
        <v>11759.876257791855</v>
      </c>
      <c r="L786" s="30">
        <v>22293.510000000017</v>
      </c>
      <c r="M786" s="29">
        <v>2.621689189518455E8</v>
      </c>
      <c r="N786" s="31" t="s">
        <v>890</v>
      </c>
      <c r="O786" s="32"/>
      <c r="P786" s="33" t="str">
        <f t="array" ref="P786">IFERROR(
HYPERLINK(
"https://drive.google.com/file/d/"&amp;
XLOOKUP(O786,'Hoa-Don'!A:A,'Hoa-Don'!D:D)
&amp;"/view",
"🔎"
),
""
)</f>
        <v/>
      </c>
    </row>
    <row r="787" ht="22.5" customHeight="1">
      <c r="A787" s="21">
        <v>786.0</v>
      </c>
      <c r="B787" s="22">
        <v>43950.0</v>
      </c>
      <c r="C787" s="23">
        <v>400.0</v>
      </c>
      <c r="D787" s="24" t="s">
        <v>115</v>
      </c>
      <c r="E787" s="35" t="s">
        <v>18</v>
      </c>
      <c r="F787" s="26"/>
      <c r="G787" s="36" t="s">
        <v>42</v>
      </c>
      <c r="H787" s="28">
        <v>20.0</v>
      </c>
      <c r="I787" s="28">
        <v>11759.876257791855</v>
      </c>
      <c r="J787" s="29">
        <v>235197.5251558371</v>
      </c>
      <c r="K787" s="29">
        <v>11759.876257791855</v>
      </c>
      <c r="L787" s="30">
        <v>22273.510000000017</v>
      </c>
      <c r="M787" s="29">
        <v>2.6193372142668965E8</v>
      </c>
      <c r="N787" s="31" t="s">
        <v>891</v>
      </c>
      <c r="O787" s="32"/>
      <c r="P787" s="33" t="str">
        <f t="array" ref="P787">IFERROR(
HYPERLINK(
"https://drive.google.com/file/d/"&amp;
XLOOKUP(O787,'Hoa-Don'!A:A,'Hoa-Don'!D:D)
&amp;"/view",
"🔎"
),
""
)</f>
        <v/>
      </c>
    </row>
    <row r="788" ht="22.5" customHeight="1">
      <c r="A788" s="21">
        <v>787.0</v>
      </c>
      <c r="B788" s="22">
        <v>43950.0</v>
      </c>
      <c r="C788" s="23">
        <v>401.0</v>
      </c>
      <c r="D788" s="24" t="s">
        <v>130</v>
      </c>
      <c r="E788" s="35" t="s">
        <v>18</v>
      </c>
      <c r="F788" s="26"/>
      <c r="G788" s="36" t="s">
        <v>42</v>
      </c>
      <c r="H788" s="28">
        <v>120.0</v>
      </c>
      <c r="I788" s="28">
        <v>11759.876257791855</v>
      </c>
      <c r="J788" s="29">
        <v>1411185.1509350226</v>
      </c>
      <c r="K788" s="29">
        <v>11759.876257791855</v>
      </c>
      <c r="L788" s="30">
        <v>22153.510000000017</v>
      </c>
      <c r="M788" s="29">
        <v>2.6052253627575463E8</v>
      </c>
      <c r="N788" s="31" t="s">
        <v>892</v>
      </c>
      <c r="O788" s="32"/>
      <c r="P788" s="33" t="str">
        <f t="array" ref="P788">IFERROR(
HYPERLINK(
"https://drive.google.com/file/d/"&amp;
XLOOKUP(O788,'Hoa-Don'!A:A,'Hoa-Don'!D:D)
&amp;"/view",
"🔎"
),
""
)</f>
        <v/>
      </c>
    </row>
    <row r="789" ht="22.5" customHeight="1">
      <c r="A789" s="21">
        <v>788.0</v>
      </c>
      <c r="B789" s="22">
        <v>43959.0</v>
      </c>
      <c r="C789" s="23">
        <v>1153.0</v>
      </c>
      <c r="D789" s="24" t="s">
        <v>821</v>
      </c>
      <c r="E789" s="25" t="s">
        <v>11</v>
      </c>
      <c r="F789" s="26"/>
      <c r="G789" s="27" t="s">
        <v>38</v>
      </c>
      <c r="H789" s="28">
        <v>7161.0</v>
      </c>
      <c r="I789" s="28">
        <v>11818.18</v>
      </c>
      <c r="J789" s="29">
        <v>8.462998698E7</v>
      </c>
      <c r="K789" s="29">
        <v>13319.03029428503</v>
      </c>
      <c r="L789" s="30">
        <v>48460.099999999984</v>
      </c>
      <c r="M789" s="29">
        <v>6.454415399640818E8</v>
      </c>
      <c r="N789" s="31" t="s">
        <v>893</v>
      </c>
      <c r="O789" s="32"/>
      <c r="P789" s="33" t="str">
        <f t="array" ref="P789">IFERROR(
HYPERLINK(
"https://drive.google.com/file/d/"&amp;
XLOOKUP(O789,'Hoa-Don'!A:A,'Hoa-Don'!D:D)
&amp;"/view",
"🔎"
),
""
)</f>
        <v/>
      </c>
    </row>
    <row r="790" ht="22.5" customHeight="1">
      <c r="A790" s="21">
        <v>789.0</v>
      </c>
      <c r="B790" s="22">
        <v>43959.0</v>
      </c>
      <c r="C790" s="23">
        <v>402.0</v>
      </c>
      <c r="D790" s="24" t="s">
        <v>845</v>
      </c>
      <c r="E790" s="35" t="s">
        <v>18</v>
      </c>
      <c r="F790" s="26"/>
      <c r="G790" s="36" t="s">
        <v>42</v>
      </c>
      <c r="H790" s="28">
        <v>1136.0</v>
      </c>
      <c r="I790" s="28">
        <v>11759.876257791855</v>
      </c>
      <c r="J790" s="29">
        <v>1.3359219428851547E7</v>
      </c>
      <c r="K790" s="29">
        <v>11759.876257791855</v>
      </c>
      <c r="L790" s="30">
        <v>21017.510000000017</v>
      </c>
      <c r="M790" s="29">
        <v>2.471633168469031E8</v>
      </c>
      <c r="N790" s="31" t="s">
        <v>894</v>
      </c>
      <c r="O790" s="32"/>
      <c r="P790" s="33" t="str">
        <f t="array" ref="P790">IFERROR(
HYPERLINK(
"https://drive.google.com/file/d/"&amp;
XLOOKUP(O790,'Hoa-Don'!A:A,'Hoa-Don'!D:D)
&amp;"/view",
"🔎"
),
""
)</f>
        <v/>
      </c>
    </row>
    <row r="791" ht="22.5" customHeight="1">
      <c r="A791" s="21">
        <v>790.0</v>
      </c>
      <c r="B791" s="22">
        <v>43960.0</v>
      </c>
      <c r="C791" s="23">
        <v>403.0</v>
      </c>
      <c r="D791" s="24" t="s">
        <v>115</v>
      </c>
      <c r="E791" s="35" t="s">
        <v>18</v>
      </c>
      <c r="F791" s="26"/>
      <c r="G791" s="36" t="s">
        <v>42</v>
      </c>
      <c r="H791" s="28">
        <v>186.0</v>
      </c>
      <c r="I791" s="28">
        <v>11759.876257791855</v>
      </c>
      <c r="J791" s="29">
        <v>2187336.983949285</v>
      </c>
      <c r="K791" s="29">
        <v>11759.876257791855</v>
      </c>
      <c r="L791" s="30">
        <v>20831.510000000017</v>
      </c>
      <c r="M791" s="29">
        <v>2.449759798629538E8</v>
      </c>
      <c r="N791" s="31" t="s">
        <v>895</v>
      </c>
      <c r="O791" s="32"/>
      <c r="P791" s="33" t="str">
        <f t="array" ref="P791">IFERROR(
HYPERLINK(
"https://drive.google.com/file/d/"&amp;
XLOOKUP(O791,'Hoa-Don'!A:A,'Hoa-Don'!D:D)
&amp;"/view",
"🔎"
),
""
)</f>
        <v/>
      </c>
    </row>
    <row r="792" ht="22.5" customHeight="1">
      <c r="A792" s="21">
        <v>791.0</v>
      </c>
      <c r="B792" s="22">
        <v>43960.0</v>
      </c>
      <c r="C792" s="23">
        <v>403.0</v>
      </c>
      <c r="D792" s="24" t="s">
        <v>115</v>
      </c>
      <c r="E792" s="25" t="s">
        <v>11</v>
      </c>
      <c r="F792" s="26"/>
      <c r="G792" s="36" t="s">
        <v>42</v>
      </c>
      <c r="H792" s="28">
        <v>1579.0</v>
      </c>
      <c r="I792" s="28">
        <v>13319.03029428503</v>
      </c>
      <c r="J792" s="29">
        <v>2.1030748834676065E7</v>
      </c>
      <c r="K792" s="29">
        <v>13319.03029428503</v>
      </c>
      <c r="L792" s="30">
        <v>46881.099999999984</v>
      </c>
      <c r="M792" s="29">
        <v>6.244107911294057E8</v>
      </c>
      <c r="N792" s="31" t="s">
        <v>896</v>
      </c>
      <c r="O792" s="32"/>
      <c r="P792" s="33" t="str">
        <f t="array" ref="P792">IFERROR(
HYPERLINK(
"https://drive.google.com/file/d/"&amp;
XLOOKUP(O792,'Hoa-Don'!A:A,'Hoa-Don'!D:D)
&amp;"/view",
"🔎"
),
""
)</f>
        <v/>
      </c>
    </row>
    <row r="793" ht="22.5" customHeight="1">
      <c r="A793" s="21">
        <v>792.0</v>
      </c>
      <c r="B793" s="22">
        <v>43976.0</v>
      </c>
      <c r="C793" s="23">
        <v>404.0</v>
      </c>
      <c r="D793" s="24" t="s">
        <v>115</v>
      </c>
      <c r="E793" s="35" t="s">
        <v>18</v>
      </c>
      <c r="F793" s="26"/>
      <c r="G793" s="36" t="s">
        <v>42</v>
      </c>
      <c r="H793" s="28">
        <v>1960.0</v>
      </c>
      <c r="I793" s="28">
        <v>11759.876257791855</v>
      </c>
      <c r="J793" s="29">
        <v>2.3049357465272035E7</v>
      </c>
      <c r="K793" s="29">
        <v>11759.876257791855</v>
      </c>
      <c r="L793" s="30">
        <v>18871.510000000017</v>
      </c>
      <c r="M793" s="29">
        <v>2.2192662239768177E8</v>
      </c>
      <c r="N793" s="31" t="s">
        <v>897</v>
      </c>
      <c r="O793" s="32"/>
      <c r="P793" s="33" t="str">
        <f t="array" ref="P793">IFERROR(
HYPERLINK(
"https://drive.google.com/file/d/"&amp;
XLOOKUP(O793,'Hoa-Don'!A:A,'Hoa-Don'!D:D)
&amp;"/view",
"🔎"
),
""
)</f>
        <v/>
      </c>
    </row>
    <row r="794" ht="22.5" customHeight="1">
      <c r="A794" s="21">
        <v>793.0</v>
      </c>
      <c r="B794" s="22">
        <v>43977.0</v>
      </c>
      <c r="C794" s="23">
        <v>405.0</v>
      </c>
      <c r="D794" s="24" t="s">
        <v>845</v>
      </c>
      <c r="E794" s="35" t="s">
        <v>18</v>
      </c>
      <c r="F794" s="26"/>
      <c r="G794" s="36" t="s">
        <v>42</v>
      </c>
      <c r="H794" s="28">
        <v>77.2</v>
      </c>
      <c r="I794" s="28">
        <v>11759.876257791855</v>
      </c>
      <c r="J794" s="29">
        <v>907862.4471015312</v>
      </c>
      <c r="K794" s="29">
        <v>11759.876257791855</v>
      </c>
      <c r="L794" s="30">
        <v>18794.310000000016</v>
      </c>
      <c r="M794" s="29">
        <v>2.2101875995058024E8</v>
      </c>
      <c r="N794" s="31" t="s">
        <v>898</v>
      </c>
      <c r="O794" s="32"/>
      <c r="P794" s="33" t="str">
        <f t="array" ref="P794">IFERROR(
HYPERLINK(
"https://drive.google.com/file/d/"&amp;
XLOOKUP(O794,'Hoa-Don'!A:A,'Hoa-Don'!D:D)
&amp;"/view",
"🔎"
),
""
)</f>
        <v/>
      </c>
    </row>
    <row r="795" ht="22.5" customHeight="1">
      <c r="A795" s="21">
        <v>794.0</v>
      </c>
      <c r="B795" s="22">
        <v>43982.0</v>
      </c>
      <c r="C795" s="23">
        <v>406.0</v>
      </c>
      <c r="D795" s="24" t="s">
        <v>130</v>
      </c>
      <c r="E795" s="35" t="s">
        <v>18</v>
      </c>
      <c r="F795" s="26"/>
      <c r="G795" s="36" t="s">
        <v>42</v>
      </c>
      <c r="H795" s="28">
        <v>107.0</v>
      </c>
      <c r="I795" s="28">
        <v>11759.876257791855</v>
      </c>
      <c r="J795" s="29">
        <v>1258306.7595837284</v>
      </c>
      <c r="K795" s="29">
        <v>11759.876257791855</v>
      </c>
      <c r="L795" s="30">
        <v>18687.310000000016</v>
      </c>
      <c r="M795" s="29">
        <v>2.197604531909965E8</v>
      </c>
      <c r="N795" s="31" t="s">
        <v>899</v>
      </c>
      <c r="O795" s="32"/>
      <c r="P795" s="33" t="str">
        <f t="array" ref="P795">IFERROR(
HYPERLINK(
"https://drive.google.com/file/d/"&amp;
XLOOKUP(O795,'Hoa-Don'!A:A,'Hoa-Don'!D:D)
&amp;"/view",
"🔎"
),
""
)</f>
        <v/>
      </c>
    </row>
    <row r="796" ht="22.5" customHeight="1">
      <c r="A796" s="21">
        <v>795.0</v>
      </c>
      <c r="B796" s="22">
        <v>43998.0</v>
      </c>
      <c r="C796" s="23">
        <v>407.0</v>
      </c>
      <c r="D796" s="24" t="s">
        <v>900</v>
      </c>
      <c r="E796" s="25" t="s">
        <v>11</v>
      </c>
      <c r="F796" s="26"/>
      <c r="G796" s="36" t="s">
        <v>42</v>
      </c>
      <c r="H796" s="28">
        <v>10.0</v>
      </c>
      <c r="I796" s="28">
        <v>13319.03029428503</v>
      </c>
      <c r="J796" s="29">
        <v>133190.3029428503</v>
      </c>
      <c r="K796" s="29">
        <v>13319.03029428503</v>
      </c>
      <c r="L796" s="30">
        <v>46871.099999999984</v>
      </c>
      <c r="M796" s="29">
        <v>6.242776008264629E8</v>
      </c>
      <c r="N796" s="31" t="s">
        <v>901</v>
      </c>
      <c r="O796" s="32"/>
      <c r="P796" s="33" t="str">
        <f t="array" ref="P796">IFERROR(
HYPERLINK(
"https://drive.google.com/file/d/"&amp;
XLOOKUP(O796,'Hoa-Don'!A:A,'Hoa-Don'!D:D)
&amp;"/view",
"🔎"
),
""
)</f>
        <v/>
      </c>
    </row>
    <row r="797" ht="22.5" customHeight="1">
      <c r="A797" s="21">
        <v>796.0</v>
      </c>
      <c r="B797" s="22">
        <v>43998.0</v>
      </c>
      <c r="C797" s="23">
        <v>407.0</v>
      </c>
      <c r="D797" s="24" t="s">
        <v>900</v>
      </c>
      <c r="E797" s="35" t="s">
        <v>18</v>
      </c>
      <c r="F797" s="26"/>
      <c r="G797" s="36" t="s">
        <v>42</v>
      </c>
      <c r="H797" s="28">
        <v>58.0</v>
      </c>
      <c r="I797" s="28">
        <v>11759.876257791855</v>
      </c>
      <c r="J797" s="29">
        <v>682072.8229519275</v>
      </c>
      <c r="K797" s="29">
        <v>11759.876257791855</v>
      </c>
      <c r="L797" s="30">
        <v>18629.310000000016</v>
      </c>
      <c r="M797" s="29">
        <v>2.1907838036804458E8</v>
      </c>
      <c r="N797" s="31" t="s">
        <v>902</v>
      </c>
      <c r="O797" s="32"/>
      <c r="P797" s="33" t="str">
        <f t="array" ref="P797">IFERROR(
HYPERLINK(
"https://drive.google.com/file/d/"&amp;
XLOOKUP(O797,'Hoa-Don'!A:A,'Hoa-Don'!D:D)
&amp;"/view",
"🔎"
),
""
)</f>
        <v/>
      </c>
    </row>
    <row r="798" ht="22.5" customHeight="1">
      <c r="A798" s="21">
        <v>797.0</v>
      </c>
      <c r="B798" s="22">
        <v>43999.0</v>
      </c>
      <c r="C798" s="23">
        <v>408.0</v>
      </c>
      <c r="D798" s="24" t="s">
        <v>877</v>
      </c>
      <c r="E798" s="35" t="s">
        <v>18</v>
      </c>
      <c r="F798" s="26"/>
      <c r="G798" s="36" t="s">
        <v>42</v>
      </c>
      <c r="H798" s="28">
        <v>140.0</v>
      </c>
      <c r="I798" s="28">
        <v>11759.876257791855</v>
      </c>
      <c r="J798" s="29">
        <v>1646382.6760908598</v>
      </c>
      <c r="K798" s="29">
        <v>11759.876257791855</v>
      </c>
      <c r="L798" s="30">
        <v>18489.310000000016</v>
      </c>
      <c r="M798" s="29">
        <v>2.1743199769195372E8</v>
      </c>
      <c r="N798" s="31" t="s">
        <v>903</v>
      </c>
      <c r="O798" s="32"/>
      <c r="P798" s="33" t="str">
        <f t="array" ref="P798">IFERROR(
HYPERLINK(
"https://drive.google.com/file/d/"&amp;
XLOOKUP(O798,'Hoa-Don'!A:A,'Hoa-Don'!D:D)
&amp;"/view",
"🔎"
),
""
)</f>
        <v/>
      </c>
    </row>
    <row r="799" ht="22.5" customHeight="1">
      <c r="A799" s="21">
        <v>798.0</v>
      </c>
      <c r="B799" s="22">
        <v>44000.0</v>
      </c>
      <c r="C799" s="23">
        <v>409.0</v>
      </c>
      <c r="D799" s="24" t="s">
        <v>845</v>
      </c>
      <c r="E799" s="35" t="s">
        <v>18</v>
      </c>
      <c r="F799" s="26"/>
      <c r="G799" s="36" t="s">
        <v>42</v>
      </c>
      <c r="H799" s="28">
        <v>15.0</v>
      </c>
      <c r="I799" s="28">
        <v>11759.876257791855</v>
      </c>
      <c r="J799" s="29">
        <v>176398.14386687783</v>
      </c>
      <c r="K799" s="29">
        <v>11759.876257791855</v>
      </c>
      <c r="L799" s="30">
        <v>18474.310000000016</v>
      </c>
      <c r="M799" s="29">
        <v>2.1725559954808682E8</v>
      </c>
      <c r="N799" s="31" t="s">
        <v>904</v>
      </c>
      <c r="O799" s="32"/>
      <c r="P799" s="33" t="str">
        <f t="array" ref="P799">IFERROR(
HYPERLINK(
"https://drive.google.com/file/d/"&amp;
XLOOKUP(O799,'Hoa-Don'!A:A,'Hoa-Don'!D:D)
&amp;"/view",
"🔎"
),
""
)</f>
        <v/>
      </c>
    </row>
    <row r="800" ht="22.5" customHeight="1">
      <c r="A800" s="21">
        <v>799.0</v>
      </c>
      <c r="B800" s="22">
        <v>44000.0</v>
      </c>
      <c r="C800" s="23">
        <v>409.0</v>
      </c>
      <c r="D800" s="24" t="s">
        <v>845</v>
      </c>
      <c r="E800" s="35" t="s">
        <v>18</v>
      </c>
      <c r="F800" s="26"/>
      <c r="G800" s="36" t="s">
        <v>42</v>
      </c>
      <c r="H800" s="28">
        <v>107.2</v>
      </c>
      <c r="I800" s="28">
        <v>11759.876257791855</v>
      </c>
      <c r="J800" s="29">
        <v>1260658.7348352869</v>
      </c>
      <c r="K800" s="29">
        <v>11759.876257791855</v>
      </c>
      <c r="L800" s="30">
        <v>18367.110000000015</v>
      </c>
      <c r="M800" s="29">
        <v>2.1599494081325153E8</v>
      </c>
      <c r="N800" s="31" t="s">
        <v>905</v>
      </c>
      <c r="O800" s="32"/>
      <c r="P800" s="33" t="str">
        <f t="array" ref="P800">IFERROR(
HYPERLINK(
"https://drive.google.com/file/d/"&amp;
XLOOKUP(O800,'Hoa-Don'!A:A,'Hoa-Don'!D:D)
&amp;"/view",
"🔎"
),
""
)</f>
        <v/>
      </c>
    </row>
    <row r="801" ht="22.5" customHeight="1">
      <c r="A801" s="21">
        <v>800.0</v>
      </c>
      <c r="B801" s="22">
        <v>44001.0</v>
      </c>
      <c r="C801" s="23">
        <v>410.0</v>
      </c>
      <c r="D801" s="24" t="s">
        <v>845</v>
      </c>
      <c r="E801" s="35" t="s">
        <v>18</v>
      </c>
      <c r="F801" s="26"/>
      <c r="G801" s="36" t="s">
        <v>42</v>
      </c>
      <c r="H801" s="28">
        <v>600.0</v>
      </c>
      <c r="I801" s="28">
        <v>11759.876257791855</v>
      </c>
      <c r="J801" s="29">
        <v>7055925.754675113</v>
      </c>
      <c r="K801" s="29">
        <v>11759.876257791855</v>
      </c>
      <c r="L801" s="30">
        <v>17767.110000000015</v>
      </c>
      <c r="M801" s="29">
        <v>2.0893901505857643E8</v>
      </c>
      <c r="N801" s="31" t="s">
        <v>906</v>
      </c>
      <c r="O801" s="32"/>
      <c r="P801" s="33" t="str">
        <f t="array" ref="P801">IFERROR(
HYPERLINK(
"https://drive.google.com/file/d/"&amp;
XLOOKUP(O801,'Hoa-Don'!A:A,'Hoa-Don'!D:D)
&amp;"/view",
"🔎"
),
""
)</f>
        <v/>
      </c>
    </row>
    <row r="802" ht="22.5" customHeight="1">
      <c r="A802" s="21">
        <v>801.0</v>
      </c>
      <c r="B802" s="22">
        <v>44002.0</v>
      </c>
      <c r="C802" s="23">
        <v>411.0</v>
      </c>
      <c r="D802" s="24" t="s">
        <v>845</v>
      </c>
      <c r="E802" s="35" t="s">
        <v>18</v>
      </c>
      <c r="F802" s="26"/>
      <c r="G802" s="36" t="s">
        <v>42</v>
      </c>
      <c r="H802" s="28">
        <v>654.0</v>
      </c>
      <c r="I802" s="28">
        <v>11759.876257791855</v>
      </c>
      <c r="J802" s="29">
        <v>7690959.072595873</v>
      </c>
      <c r="K802" s="29">
        <v>11759.876257791855</v>
      </c>
      <c r="L802" s="30">
        <v>17113.110000000015</v>
      </c>
      <c r="M802" s="29">
        <v>2.0124805598598054E8</v>
      </c>
      <c r="N802" s="31" t="s">
        <v>907</v>
      </c>
      <c r="O802" s="32"/>
      <c r="P802" s="33" t="str">
        <f t="array" ref="P802">IFERROR(
HYPERLINK(
"https://drive.google.com/file/d/"&amp;
XLOOKUP(O802,'Hoa-Don'!A:A,'Hoa-Don'!D:D)
&amp;"/view",
"🔎"
),
""
)</f>
        <v/>
      </c>
    </row>
    <row r="803" ht="22.5" customHeight="1">
      <c r="A803" s="21">
        <v>802.0</v>
      </c>
      <c r="B803" s="22">
        <v>44002.0</v>
      </c>
      <c r="C803" s="23">
        <v>411.0</v>
      </c>
      <c r="D803" s="24" t="s">
        <v>845</v>
      </c>
      <c r="E803" s="35" t="s">
        <v>18</v>
      </c>
      <c r="F803" s="26"/>
      <c r="G803" s="36" t="s">
        <v>42</v>
      </c>
      <c r="H803" s="28">
        <v>23.0</v>
      </c>
      <c r="I803" s="28">
        <v>11759.876257791855</v>
      </c>
      <c r="J803" s="29">
        <v>270477.15392921265</v>
      </c>
      <c r="K803" s="29">
        <v>11759.876257791855</v>
      </c>
      <c r="L803" s="30">
        <v>17090.110000000015</v>
      </c>
      <c r="M803" s="29">
        <v>2.0097757883205134E8</v>
      </c>
      <c r="N803" s="31" t="s">
        <v>908</v>
      </c>
      <c r="O803" s="32"/>
      <c r="P803" s="33" t="str">
        <f t="array" ref="P803">IFERROR(
HYPERLINK(
"https://drive.google.com/file/d/"&amp;
XLOOKUP(O803,'Hoa-Don'!A:A,'Hoa-Don'!D:D)
&amp;"/view",
"🔎"
),
""
)</f>
        <v/>
      </c>
    </row>
    <row r="804" ht="22.5" customHeight="1">
      <c r="A804" s="21">
        <v>803.0</v>
      </c>
      <c r="B804" s="22">
        <v>44002.0</v>
      </c>
      <c r="C804" s="23">
        <v>411.0</v>
      </c>
      <c r="D804" s="24" t="s">
        <v>845</v>
      </c>
      <c r="E804" s="35" t="s">
        <v>18</v>
      </c>
      <c r="F804" s="26"/>
      <c r="G804" s="36" t="s">
        <v>42</v>
      </c>
      <c r="H804" s="28">
        <v>93.0</v>
      </c>
      <c r="I804" s="28">
        <v>11759.876257791855</v>
      </c>
      <c r="J804" s="29">
        <v>1093668.4919746425</v>
      </c>
      <c r="K804" s="29">
        <v>11759.876257791855</v>
      </c>
      <c r="L804" s="30">
        <v>16997.110000000015</v>
      </c>
      <c r="M804" s="29">
        <v>1.9988391034007668E8</v>
      </c>
      <c r="N804" s="31" t="s">
        <v>909</v>
      </c>
      <c r="O804" s="32"/>
      <c r="P804" s="33" t="str">
        <f t="array" ref="P804">IFERROR(
HYPERLINK(
"https://drive.google.com/file/d/"&amp;
XLOOKUP(O804,'Hoa-Don'!A:A,'Hoa-Don'!D:D)
&amp;"/view",
"🔎"
),
""
)</f>
        <v/>
      </c>
    </row>
    <row r="805" ht="22.5" customHeight="1">
      <c r="A805" s="21">
        <v>804.0</v>
      </c>
      <c r="B805" s="22">
        <v>44003.0</v>
      </c>
      <c r="C805" s="23">
        <v>412.0</v>
      </c>
      <c r="D805" s="24" t="s">
        <v>845</v>
      </c>
      <c r="E805" s="35" t="s">
        <v>18</v>
      </c>
      <c r="F805" s="26"/>
      <c r="G805" s="36" t="s">
        <v>42</v>
      </c>
      <c r="H805" s="28">
        <v>321.0</v>
      </c>
      <c r="I805" s="28">
        <v>11759.876257791855</v>
      </c>
      <c r="J805" s="29">
        <v>3774920.2787511856</v>
      </c>
      <c r="K805" s="29">
        <v>11759.876257791855</v>
      </c>
      <c r="L805" s="30">
        <v>16676.110000000015</v>
      </c>
      <c r="M805" s="29">
        <v>1.9610899006132552E8</v>
      </c>
      <c r="N805" s="31" t="s">
        <v>910</v>
      </c>
      <c r="O805" s="32"/>
      <c r="P805" s="33" t="str">
        <f t="array" ref="P805">IFERROR(
HYPERLINK(
"https://drive.google.com/file/d/"&amp;
XLOOKUP(O805,'Hoa-Don'!A:A,'Hoa-Don'!D:D)
&amp;"/view",
"🔎"
),
""
)</f>
        <v/>
      </c>
    </row>
    <row r="806" ht="22.5" customHeight="1">
      <c r="A806" s="21">
        <v>805.0</v>
      </c>
      <c r="B806" s="22">
        <v>44003.0</v>
      </c>
      <c r="C806" s="23">
        <v>412.0</v>
      </c>
      <c r="D806" s="24" t="s">
        <v>845</v>
      </c>
      <c r="E806" s="35" t="s">
        <v>18</v>
      </c>
      <c r="F806" s="26"/>
      <c r="G806" s="36" t="s">
        <v>42</v>
      </c>
      <c r="H806" s="28">
        <v>9.56</v>
      </c>
      <c r="I806" s="28">
        <v>11759.876257791855</v>
      </c>
      <c r="J806" s="29">
        <v>112424.41702449015</v>
      </c>
      <c r="K806" s="29">
        <v>11759.876257791855</v>
      </c>
      <c r="L806" s="30">
        <v>16666.550000000014</v>
      </c>
      <c r="M806" s="29">
        <v>1.95996565644301E8</v>
      </c>
      <c r="N806" s="31" t="s">
        <v>911</v>
      </c>
      <c r="O806" s="32"/>
      <c r="P806" s="33" t="str">
        <f t="array" ref="P806">IFERROR(
HYPERLINK(
"https://drive.google.com/file/d/"&amp;
XLOOKUP(O806,'Hoa-Don'!A:A,'Hoa-Don'!D:D)
&amp;"/view",
"🔎"
),
""
)</f>
        <v/>
      </c>
    </row>
    <row r="807" ht="22.5" customHeight="1">
      <c r="A807" s="21">
        <v>806.0</v>
      </c>
      <c r="B807" s="22">
        <v>44003.0</v>
      </c>
      <c r="C807" s="23">
        <v>412.0</v>
      </c>
      <c r="D807" s="24" t="s">
        <v>845</v>
      </c>
      <c r="E807" s="35" t="s">
        <v>18</v>
      </c>
      <c r="F807" s="26"/>
      <c r="G807" s="36" t="s">
        <v>42</v>
      </c>
      <c r="H807" s="28">
        <v>38.1</v>
      </c>
      <c r="I807" s="28">
        <v>11759.876257791855</v>
      </c>
      <c r="J807" s="29">
        <v>448051.2854218697</v>
      </c>
      <c r="K807" s="29">
        <v>11759.876257791855</v>
      </c>
      <c r="L807" s="30">
        <v>16628.450000000015</v>
      </c>
      <c r="M807" s="29">
        <v>1.9554851435887915E8</v>
      </c>
      <c r="N807" s="31" t="s">
        <v>912</v>
      </c>
      <c r="O807" s="32"/>
      <c r="P807" s="33" t="str">
        <f t="array" ref="P807">IFERROR(
HYPERLINK(
"https://drive.google.com/file/d/"&amp;
XLOOKUP(O807,'Hoa-Don'!A:A,'Hoa-Don'!D:D)
&amp;"/view",
"🔎"
),
""
)</f>
        <v/>
      </c>
    </row>
    <row r="808" ht="22.5" customHeight="1">
      <c r="A808" s="21">
        <v>807.0</v>
      </c>
      <c r="B808" s="22">
        <v>44011.0</v>
      </c>
      <c r="C808" s="23">
        <v>413.0</v>
      </c>
      <c r="D808" s="24" t="s">
        <v>913</v>
      </c>
      <c r="E808" s="35" t="s">
        <v>18</v>
      </c>
      <c r="F808" s="26"/>
      <c r="G808" s="36" t="s">
        <v>42</v>
      </c>
      <c r="H808" s="28">
        <v>4978.29</v>
      </c>
      <c r="I808" s="28">
        <v>11759.876257791855</v>
      </c>
      <c r="J808" s="29">
        <v>5.8544074375402614E7</v>
      </c>
      <c r="K808" s="29">
        <v>11759.876257791855</v>
      </c>
      <c r="L808" s="30">
        <v>11650.160000000014</v>
      </c>
      <c r="M808" s="29">
        <v>1.3700443998347652E8</v>
      </c>
      <c r="N808" s="31" t="s">
        <v>914</v>
      </c>
      <c r="O808" s="32"/>
      <c r="P808" s="33" t="str">
        <f t="array" ref="P808">IFERROR(
HYPERLINK(
"https://drive.google.com/file/d/"&amp;
XLOOKUP(O808,'Hoa-Don'!A:A,'Hoa-Don'!D:D)
&amp;"/view",
"🔎"
),
""
)</f>
        <v/>
      </c>
    </row>
    <row r="809" ht="22.5" customHeight="1">
      <c r="A809" s="21">
        <v>808.0</v>
      </c>
      <c r="B809" s="22">
        <v>44013.0</v>
      </c>
      <c r="C809" s="23">
        <v>414.0</v>
      </c>
      <c r="D809" s="24" t="s">
        <v>130</v>
      </c>
      <c r="E809" s="25" t="s">
        <v>11</v>
      </c>
      <c r="F809" s="26"/>
      <c r="G809" s="36" t="s">
        <v>42</v>
      </c>
      <c r="H809" s="28">
        <v>200.0</v>
      </c>
      <c r="I809" s="28">
        <v>13319.03029428503</v>
      </c>
      <c r="J809" s="29">
        <v>2663806.058857006</v>
      </c>
      <c r="K809" s="29">
        <v>13319.03029428503</v>
      </c>
      <c r="L809" s="30">
        <v>46671.099999999984</v>
      </c>
      <c r="M809" s="29">
        <v>6.216137947676059E8</v>
      </c>
      <c r="N809" s="31" t="s">
        <v>915</v>
      </c>
      <c r="O809" s="32"/>
      <c r="P809" s="33" t="str">
        <f t="array" ref="P809">IFERROR(
HYPERLINK(
"https://drive.google.com/file/d/"&amp;
XLOOKUP(O809,'Hoa-Don'!A:A,'Hoa-Don'!D:D)
&amp;"/view",
"🔎"
),
""
)</f>
        <v/>
      </c>
    </row>
    <row r="810" ht="22.5" customHeight="1">
      <c r="A810" s="21">
        <v>809.0</v>
      </c>
      <c r="B810" s="22">
        <v>44013.0</v>
      </c>
      <c r="C810" s="23">
        <v>415.0</v>
      </c>
      <c r="D810" s="24" t="s">
        <v>130</v>
      </c>
      <c r="E810" s="25" t="s">
        <v>11</v>
      </c>
      <c r="F810" s="26"/>
      <c r="G810" s="36" t="s">
        <v>42</v>
      </c>
      <c r="H810" s="28">
        <v>105.0</v>
      </c>
      <c r="I810" s="28">
        <v>13319.03029428503</v>
      </c>
      <c r="J810" s="29">
        <v>1398498.180899928</v>
      </c>
      <c r="K810" s="29">
        <v>13319.03029428503</v>
      </c>
      <c r="L810" s="30">
        <v>46566.099999999984</v>
      </c>
      <c r="M810" s="29">
        <v>6.202152965867059E8</v>
      </c>
      <c r="N810" s="31" t="s">
        <v>916</v>
      </c>
      <c r="O810" s="32"/>
      <c r="P810" s="33" t="str">
        <f t="array" ref="P810">IFERROR(
HYPERLINK(
"https://drive.google.com/file/d/"&amp;
XLOOKUP(O810,'Hoa-Don'!A:A,'Hoa-Don'!D:D)
&amp;"/view",
"🔎"
),
""
)</f>
        <v/>
      </c>
    </row>
    <row r="811" ht="22.5" customHeight="1">
      <c r="A811" s="21">
        <v>810.0</v>
      </c>
      <c r="B811" s="22">
        <v>44027.0</v>
      </c>
      <c r="C811" s="23">
        <v>416.0</v>
      </c>
      <c r="D811" s="24" t="s">
        <v>877</v>
      </c>
      <c r="E811" s="35" t="s">
        <v>18</v>
      </c>
      <c r="F811" s="26"/>
      <c r="G811" s="36" t="s">
        <v>42</v>
      </c>
      <c r="H811" s="28">
        <v>212.0</v>
      </c>
      <c r="I811" s="28">
        <v>11759.876257791855</v>
      </c>
      <c r="J811" s="29">
        <v>2493093.7666518735</v>
      </c>
      <c r="K811" s="29">
        <v>11759.876257791855</v>
      </c>
      <c r="L811" s="30">
        <v>11438.160000000014</v>
      </c>
      <c r="M811" s="29">
        <v>1.3451134621682465E8</v>
      </c>
      <c r="N811" s="31" t="s">
        <v>917</v>
      </c>
      <c r="O811" s="32"/>
      <c r="P811" s="33" t="str">
        <f t="array" ref="P811">IFERROR(
HYPERLINK(
"https://drive.google.com/file/d/"&amp;
XLOOKUP(O811,'Hoa-Don'!A:A,'Hoa-Don'!D:D)
&amp;"/view",
"🔎"
),
""
)</f>
        <v/>
      </c>
    </row>
    <row r="812" ht="22.5" customHeight="1">
      <c r="A812" s="21">
        <v>811.0</v>
      </c>
      <c r="B812" s="22">
        <v>44042.0</v>
      </c>
      <c r="C812" s="23">
        <v>417.0</v>
      </c>
      <c r="D812" s="24" t="s">
        <v>130</v>
      </c>
      <c r="E812" s="25" t="s">
        <v>11</v>
      </c>
      <c r="F812" s="26"/>
      <c r="G812" s="36" t="s">
        <v>42</v>
      </c>
      <c r="H812" s="28">
        <v>210.0</v>
      </c>
      <c r="I812" s="28">
        <v>13319.03029428503</v>
      </c>
      <c r="J812" s="29">
        <v>2796996.361799856</v>
      </c>
      <c r="K812" s="29">
        <v>13319.03029428503</v>
      </c>
      <c r="L812" s="30">
        <v>46356.099999999984</v>
      </c>
      <c r="M812" s="29">
        <v>6.174183002249061E8</v>
      </c>
      <c r="N812" s="31" t="s">
        <v>918</v>
      </c>
      <c r="O812" s="32"/>
      <c r="P812" s="33" t="str">
        <f t="array" ref="P812">IFERROR(
HYPERLINK(
"https://drive.google.com/file/d/"&amp;
XLOOKUP(O812,'Hoa-Don'!A:A,'Hoa-Don'!D:D)
&amp;"/view",
"🔎"
),
""
)</f>
        <v/>
      </c>
    </row>
    <row r="813" ht="22.5" customHeight="1">
      <c r="A813" s="21">
        <v>812.0</v>
      </c>
      <c r="B813" s="22">
        <v>44055.0</v>
      </c>
      <c r="C813" s="23">
        <v>36.0</v>
      </c>
      <c r="D813" s="24" t="s">
        <v>821</v>
      </c>
      <c r="E813" s="25" t="s">
        <v>11</v>
      </c>
      <c r="F813" s="26"/>
      <c r="G813" s="27" t="s">
        <v>38</v>
      </c>
      <c r="H813" s="28">
        <v>591.0</v>
      </c>
      <c r="I813" s="28">
        <v>11727.27</v>
      </c>
      <c r="J813" s="29">
        <v>6930816.57</v>
      </c>
      <c r="K813" s="29">
        <v>13298.992201752746</v>
      </c>
      <c r="L813" s="30">
        <v>46947.099999999984</v>
      </c>
      <c r="M813" s="29">
        <v>6.243491167949061E8</v>
      </c>
      <c r="N813" s="31" t="s">
        <v>919</v>
      </c>
      <c r="O813" s="32"/>
      <c r="P813" s="33" t="str">
        <f t="array" ref="P813">IFERROR(
HYPERLINK(
"https://drive.google.com/file/d/"&amp;
XLOOKUP(O813,'Hoa-Don'!A:A,'Hoa-Don'!D:D)
&amp;"/view",
"🔎"
),
""
)</f>
        <v/>
      </c>
    </row>
    <row r="814" ht="22.5" customHeight="1">
      <c r="A814" s="21">
        <v>813.0</v>
      </c>
      <c r="B814" s="22">
        <v>44070.0</v>
      </c>
      <c r="C814" s="23">
        <v>419.0</v>
      </c>
      <c r="D814" s="24" t="s">
        <v>877</v>
      </c>
      <c r="E814" s="35" t="s">
        <v>18</v>
      </c>
      <c r="F814" s="26"/>
      <c r="G814" s="36" t="s">
        <v>42</v>
      </c>
      <c r="H814" s="28">
        <v>1136.0</v>
      </c>
      <c r="I814" s="28">
        <v>11759.876257791855</v>
      </c>
      <c r="J814" s="29">
        <v>1.3359219428851547E7</v>
      </c>
      <c r="K814" s="29">
        <v>11759.876257791855</v>
      </c>
      <c r="L814" s="30">
        <v>10302.160000000014</v>
      </c>
      <c r="M814" s="29">
        <v>1.211521267879731E8</v>
      </c>
      <c r="N814" s="31" t="s">
        <v>920</v>
      </c>
      <c r="O814" s="32"/>
      <c r="P814" s="33" t="str">
        <f t="array" ref="P814">IFERROR(
HYPERLINK(
"https://drive.google.com/file/d/"&amp;
XLOOKUP(O814,'Hoa-Don'!A:A,'Hoa-Don'!D:D)
&amp;"/view",
"🔎"
),
""
)</f>
        <v/>
      </c>
    </row>
    <row r="815" ht="22.5" customHeight="1">
      <c r="A815" s="21">
        <v>814.0</v>
      </c>
      <c r="B815" s="22">
        <v>44074.0</v>
      </c>
      <c r="C815" s="23">
        <v>420.0</v>
      </c>
      <c r="D815" s="24" t="s">
        <v>130</v>
      </c>
      <c r="E815" s="25" t="s">
        <v>11</v>
      </c>
      <c r="F815" s="26"/>
      <c r="G815" s="36" t="s">
        <v>42</v>
      </c>
      <c r="H815" s="28">
        <v>150.0</v>
      </c>
      <c r="I815" s="28">
        <v>13298.992201752746</v>
      </c>
      <c r="J815" s="29">
        <v>1994848.830262912</v>
      </c>
      <c r="K815" s="29">
        <v>13298.992201752746</v>
      </c>
      <c r="L815" s="30">
        <v>46797.099999999984</v>
      </c>
      <c r="M815" s="29">
        <v>6.223542679646432E8</v>
      </c>
      <c r="N815" s="31" t="s">
        <v>921</v>
      </c>
      <c r="O815" s="32"/>
      <c r="P815" s="33" t="str">
        <f t="array" ref="P815">IFERROR(
HYPERLINK(
"https://drive.google.com/file/d/"&amp;
XLOOKUP(O815,'Hoa-Don'!A:A,'Hoa-Don'!D:D)
&amp;"/view",
"🔎"
),
""
)</f>
        <v/>
      </c>
    </row>
    <row r="816" ht="22.5" customHeight="1">
      <c r="A816" s="21">
        <v>815.0</v>
      </c>
      <c r="B816" s="22">
        <v>44083.0</v>
      </c>
      <c r="C816" s="23">
        <v>421.0</v>
      </c>
      <c r="D816" s="24" t="s">
        <v>877</v>
      </c>
      <c r="E816" s="35" t="s">
        <v>18</v>
      </c>
      <c r="F816" s="26"/>
      <c r="G816" s="36" t="s">
        <v>42</v>
      </c>
      <c r="H816" s="28">
        <v>149.0</v>
      </c>
      <c r="I816" s="28">
        <v>11759.876257791855</v>
      </c>
      <c r="J816" s="29">
        <v>1752221.5624109865</v>
      </c>
      <c r="K816" s="29">
        <v>11759.876257791855</v>
      </c>
      <c r="L816" s="30">
        <v>10153.160000000014</v>
      </c>
      <c r="M816" s="29">
        <v>1.1939990522556213E8</v>
      </c>
      <c r="N816" s="31" t="s">
        <v>922</v>
      </c>
      <c r="O816" s="32"/>
      <c r="P816" s="33" t="str">
        <f t="array" ref="P816">IFERROR(
HYPERLINK(
"https://drive.google.com/file/d/"&amp;
XLOOKUP(O816,'Hoa-Don'!A:A,'Hoa-Don'!D:D)
&amp;"/view",
"🔎"
),
""
)</f>
        <v/>
      </c>
    </row>
    <row r="817" ht="22.5" customHeight="1">
      <c r="A817" s="21">
        <v>816.0</v>
      </c>
      <c r="B817" s="22">
        <v>44084.0</v>
      </c>
      <c r="C817" s="23">
        <v>422.0</v>
      </c>
      <c r="D817" s="24" t="s">
        <v>923</v>
      </c>
      <c r="E817" s="35" t="s">
        <v>18</v>
      </c>
      <c r="F817" s="26"/>
      <c r="G817" s="36" t="s">
        <v>42</v>
      </c>
      <c r="H817" s="28">
        <v>5010.0</v>
      </c>
      <c r="I817" s="28">
        <v>11759.876257791855</v>
      </c>
      <c r="J817" s="29">
        <v>5.891698005153719E7</v>
      </c>
      <c r="K817" s="29">
        <v>11759.876257791855</v>
      </c>
      <c r="L817" s="30">
        <v>5143.160000000014</v>
      </c>
      <c r="M817" s="29">
        <v>6.0482925174024925E7</v>
      </c>
      <c r="N817" s="31" t="s">
        <v>924</v>
      </c>
      <c r="O817" s="32"/>
      <c r="P817" s="33" t="str">
        <f t="array" ref="P817">IFERROR(
HYPERLINK(
"https://drive.google.com/file/d/"&amp;
XLOOKUP(O817,'Hoa-Don'!A:A,'Hoa-Don'!D:D)
&amp;"/view",
"🔎"
),
""
)</f>
        <v/>
      </c>
    </row>
    <row r="818" ht="22.5" customHeight="1">
      <c r="A818" s="21">
        <v>817.0</v>
      </c>
      <c r="B818" s="22">
        <v>44104.0</v>
      </c>
      <c r="C818" s="23">
        <v>423.0</v>
      </c>
      <c r="D818" s="24" t="s">
        <v>130</v>
      </c>
      <c r="E818" s="25" t="s">
        <v>11</v>
      </c>
      <c r="F818" s="26"/>
      <c r="G818" s="36" t="s">
        <v>42</v>
      </c>
      <c r="H818" s="28">
        <v>165.0</v>
      </c>
      <c r="I818" s="28">
        <v>13298.992201752746</v>
      </c>
      <c r="J818" s="29">
        <v>2194333.713289203</v>
      </c>
      <c r="K818" s="29">
        <v>13298.992201752746</v>
      </c>
      <c r="L818" s="30">
        <v>46632.099999999984</v>
      </c>
      <c r="M818" s="29">
        <v>6.20159934251354E8</v>
      </c>
      <c r="N818" s="31" t="s">
        <v>925</v>
      </c>
      <c r="O818" s="32"/>
      <c r="P818" s="33" t="str">
        <f t="array" ref="P818">IFERROR(
HYPERLINK(
"https://drive.google.com/file/d/"&amp;
XLOOKUP(O818,'Hoa-Don'!A:A,'Hoa-Don'!D:D)
&amp;"/view",
"🔎"
),
""
)</f>
        <v/>
      </c>
    </row>
    <row r="819" ht="22.5" customHeight="1">
      <c r="A819" s="21">
        <v>818.0</v>
      </c>
      <c r="B819" s="22">
        <v>44105.0</v>
      </c>
      <c r="C819" s="23">
        <v>424.0</v>
      </c>
      <c r="D819" s="24" t="s">
        <v>130</v>
      </c>
      <c r="E819" s="25" t="s">
        <v>11</v>
      </c>
      <c r="F819" s="26"/>
      <c r="G819" s="36" t="s">
        <v>42</v>
      </c>
      <c r="H819" s="28">
        <v>165.0</v>
      </c>
      <c r="I819" s="28">
        <v>13298.992201752746</v>
      </c>
      <c r="J819" s="29">
        <v>2194333.713289203</v>
      </c>
      <c r="K819" s="29">
        <v>13298.992201752746</v>
      </c>
      <c r="L819" s="30">
        <v>46467.099999999984</v>
      </c>
      <c r="M819" s="29">
        <v>6.179656005380648E8</v>
      </c>
      <c r="N819" s="31" t="s">
        <v>926</v>
      </c>
      <c r="O819" s="32"/>
      <c r="P819" s="33" t="str">
        <f t="array" ref="P819">IFERROR(
HYPERLINK(
"https://drive.google.com/file/d/"&amp;
XLOOKUP(O819,'Hoa-Don'!A:A,'Hoa-Don'!D:D)
&amp;"/view",
"🔎"
),
""
)</f>
        <v/>
      </c>
    </row>
    <row r="820" ht="22.5" customHeight="1">
      <c r="A820" s="21">
        <v>819.0</v>
      </c>
      <c r="B820" s="22">
        <v>44112.0</v>
      </c>
      <c r="C820" s="23">
        <v>425.0</v>
      </c>
      <c r="D820" s="24" t="s">
        <v>130</v>
      </c>
      <c r="E820" s="25" t="s">
        <v>11</v>
      </c>
      <c r="F820" s="26"/>
      <c r="G820" s="36" t="s">
        <v>42</v>
      </c>
      <c r="H820" s="28">
        <v>150.0</v>
      </c>
      <c r="I820" s="28">
        <v>13298.992201752746</v>
      </c>
      <c r="J820" s="29">
        <v>1994848.830262912</v>
      </c>
      <c r="K820" s="29">
        <v>13298.992201752746</v>
      </c>
      <c r="L820" s="30">
        <v>46317.099999999984</v>
      </c>
      <c r="M820" s="29">
        <v>6.159707517078019E8</v>
      </c>
      <c r="N820" s="31" t="s">
        <v>927</v>
      </c>
      <c r="O820" s="32"/>
      <c r="P820" s="33" t="str">
        <f t="array" ref="P820">IFERROR(
HYPERLINK(
"https://drive.google.com/file/d/"&amp;
XLOOKUP(O820,'Hoa-Don'!A:A,'Hoa-Don'!D:D)
&amp;"/view",
"🔎"
),
""
)</f>
        <v/>
      </c>
    </row>
    <row r="821" ht="22.5" customHeight="1">
      <c r="A821" s="21">
        <v>820.0</v>
      </c>
      <c r="B821" s="22">
        <v>44118.0</v>
      </c>
      <c r="C821" s="23">
        <v>427.0</v>
      </c>
      <c r="D821" s="24" t="s">
        <v>913</v>
      </c>
      <c r="E821" s="25" t="s">
        <v>11</v>
      </c>
      <c r="F821" s="26"/>
      <c r="G821" s="36" t="s">
        <v>42</v>
      </c>
      <c r="H821" s="28">
        <v>3636.77</v>
      </c>
      <c r="I821" s="28">
        <v>13298.992201752746</v>
      </c>
      <c r="J821" s="29">
        <v>4.836537586956833E7</v>
      </c>
      <c r="K821" s="29">
        <v>13298.992201752746</v>
      </c>
      <c r="L821" s="30">
        <v>42680.32999999999</v>
      </c>
      <c r="M821" s="29">
        <v>5.676053758382336E8</v>
      </c>
      <c r="N821" s="31" t="s">
        <v>928</v>
      </c>
      <c r="O821" s="32"/>
      <c r="P821" s="33" t="str">
        <f t="array" ref="P821">IFERROR(
HYPERLINK(
"https://drive.google.com/file/d/"&amp;
XLOOKUP(O821,'Hoa-Don'!A:A,'Hoa-Don'!D:D)
&amp;"/view",
"🔎"
),
""
)</f>
        <v/>
      </c>
    </row>
    <row r="822" ht="22.5" customHeight="1">
      <c r="A822" s="21">
        <v>821.0</v>
      </c>
      <c r="B822" s="22">
        <v>44118.0</v>
      </c>
      <c r="C822" s="23">
        <v>427.0</v>
      </c>
      <c r="D822" s="24" t="s">
        <v>913</v>
      </c>
      <c r="E822" s="35" t="s">
        <v>18</v>
      </c>
      <c r="F822" s="26"/>
      <c r="G822" s="36" t="s">
        <v>42</v>
      </c>
      <c r="H822" s="28">
        <v>930.8</v>
      </c>
      <c r="I822" s="28">
        <v>11759.876257791855</v>
      </c>
      <c r="J822" s="29">
        <v>1.0946092820752658E7</v>
      </c>
      <c r="K822" s="29">
        <v>11759.876257791855</v>
      </c>
      <c r="L822" s="30">
        <v>4212.360000000014</v>
      </c>
      <c r="M822" s="29">
        <v>4.953683235327227E7</v>
      </c>
      <c r="N822" s="31" t="s">
        <v>929</v>
      </c>
      <c r="O822" s="32"/>
      <c r="P822" s="33" t="str">
        <f t="array" ref="P822">IFERROR(
HYPERLINK(
"https://drive.google.com/file/d/"&amp;
XLOOKUP(O822,'Hoa-Don'!A:A,'Hoa-Don'!D:D)
&amp;"/view",
"🔎"
),
""
)</f>
        <v/>
      </c>
    </row>
    <row r="823" ht="22.5" customHeight="1">
      <c r="A823" s="21">
        <v>822.0</v>
      </c>
      <c r="B823" s="22">
        <v>44118.0</v>
      </c>
      <c r="C823" s="23">
        <v>427.0</v>
      </c>
      <c r="D823" s="24" t="s">
        <v>913</v>
      </c>
      <c r="E823" s="25" t="s">
        <v>11</v>
      </c>
      <c r="F823" s="26"/>
      <c r="G823" s="36" t="s">
        <v>42</v>
      </c>
      <c r="H823" s="28">
        <v>426.1</v>
      </c>
      <c r="I823" s="28">
        <v>13298.992201752746</v>
      </c>
      <c r="J823" s="29">
        <v>5666700.577166845</v>
      </c>
      <c r="K823" s="29">
        <v>13298.992201752746</v>
      </c>
      <c r="L823" s="30">
        <v>42254.22999999999</v>
      </c>
      <c r="M823" s="29">
        <v>5.619386752610668E8</v>
      </c>
      <c r="N823" s="31" t="s">
        <v>930</v>
      </c>
      <c r="O823" s="32"/>
      <c r="P823" s="33" t="str">
        <f t="array" ref="P823">IFERROR(
HYPERLINK(
"https://drive.google.com/file/d/"&amp;
XLOOKUP(O823,'Hoa-Don'!A:A,'Hoa-Don'!D:D)
&amp;"/view",
"🔎"
),
""
)</f>
        <v/>
      </c>
    </row>
    <row r="824" ht="22.5" customHeight="1">
      <c r="A824" s="21">
        <v>823.0</v>
      </c>
      <c r="B824" s="22">
        <v>44118.0</v>
      </c>
      <c r="C824" s="23">
        <v>427.0</v>
      </c>
      <c r="D824" s="24" t="s">
        <v>913</v>
      </c>
      <c r="E824" s="35" t="s">
        <v>18</v>
      </c>
      <c r="F824" s="26"/>
      <c r="G824" s="36" t="s">
        <v>42</v>
      </c>
      <c r="H824" s="28">
        <v>483.38</v>
      </c>
      <c r="I824" s="28">
        <v>11759.876257791855</v>
      </c>
      <c r="J824" s="29">
        <v>5684488.985491427</v>
      </c>
      <c r="K824" s="29">
        <v>11759.876257791855</v>
      </c>
      <c r="L824" s="30">
        <v>3728.980000000014</v>
      </c>
      <c r="M824" s="29">
        <v>4.3852343367780834E7</v>
      </c>
      <c r="N824" s="31" t="s">
        <v>931</v>
      </c>
      <c r="O824" s="32"/>
      <c r="P824" s="33" t="str">
        <f t="array" ref="P824">IFERROR(
HYPERLINK(
"https://drive.google.com/file/d/"&amp;
XLOOKUP(O824,'Hoa-Don'!A:A,'Hoa-Don'!D:D)
&amp;"/view",
"🔎"
),
""
)</f>
        <v/>
      </c>
    </row>
    <row r="825" ht="22.5" customHeight="1">
      <c r="A825" s="21">
        <v>824.0</v>
      </c>
      <c r="B825" s="22">
        <v>44118.0</v>
      </c>
      <c r="C825" s="23">
        <v>427.0</v>
      </c>
      <c r="D825" s="24" t="s">
        <v>913</v>
      </c>
      <c r="E825" s="25" t="s">
        <v>11</v>
      </c>
      <c r="F825" s="26"/>
      <c r="G825" s="36" t="s">
        <v>42</v>
      </c>
      <c r="H825" s="28">
        <v>2803.81</v>
      </c>
      <c r="I825" s="28">
        <v>13298.992201752746</v>
      </c>
      <c r="J825" s="29">
        <v>3.728784732519636E7</v>
      </c>
      <c r="K825" s="29">
        <v>13298.992201752746</v>
      </c>
      <c r="L825" s="30">
        <v>39450.41999999999</v>
      </c>
      <c r="M825" s="29">
        <v>5.2465082793587047E8</v>
      </c>
      <c r="N825" s="31" t="s">
        <v>932</v>
      </c>
      <c r="O825" s="32"/>
      <c r="P825" s="33" t="str">
        <f t="array" ref="P825">IFERROR(
HYPERLINK(
"https://drive.google.com/file/d/"&amp;
XLOOKUP(O825,'Hoa-Don'!A:A,'Hoa-Don'!D:D)
&amp;"/view",
"🔎"
),
""
)</f>
        <v/>
      </c>
    </row>
    <row r="826" ht="22.5" customHeight="1">
      <c r="A826" s="21">
        <v>825.0</v>
      </c>
      <c r="B826" s="22">
        <v>44120.0</v>
      </c>
      <c r="C826" s="23">
        <v>123.0</v>
      </c>
      <c r="D826" s="24" t="s">
        <v>155</v>
      </c>
      <c r="E826" s="35" t="s">
        <v>18</v>
      </c>
      <c r="F826" s="26"/>
      <c r="G826" s="27" t="s">
        <v>38</v>
      </c>
      <c r="H826" s="28">
        <v>4596.0</v>
      </c>
      <c r="I826" s="28">
        <v>11272.73</v>
      </c>
      <c r="J826" s="29">
        <v>5.180946708E7</v>
      </c>
      <c r="K826" s="29">
        <v>11490.93576774727</v>
      </c>
      <c r="L826" s="30">
        <v>8324.980000000014</v>
      </c>
      <c r="M826" s="29">
        <v>9.566181044778083E7</v>
      </c>
      <c r="N826" s="31" t="s">
        <v>933</v>
      </c>
      <c r="O826" s="32"/>
      <c r="P826" s="33" t="str">
        <f t="array" ref="P826">IFERROR(
HYPERLINK(
"https://drive.google.com/file/d/"&amp;
XLOOKUP(O826,'Hoa-Don'!A:A,'Hoa-Don'!D:D)
&amp;"/view",
"🔎"
),
""
)</f>
        <v/>
      </c>
    </row>
    <row r="827" ht="22.5" customHeight="1">
      <c r="A827" s="21">
        <v>826.0</v>
      </c>
      <c r="B827" s="22">
        <v>44128.0</v>
      </c>
      <c r="C827" s="23">
        <v>273.0</v>
      </c>
      <c r="D827" s="24" t="s">
        <v>821</v>
      </c>
      <c r="E827" s="25" t="s">
        <v>11</v>
      </c>
      <c r="F827" s="26"/>
      <c r="G827" s="27" t="s">
        <v>38</v>
      </c>
      <c r="H827" s="28">
        <v>590.0</v>
      </c>
      <c r="I827" s="28">
        <v>12272.73</v>
      </c>
      <c r="J827" s="29">
        <v>7240910.7</v>
      </c>
      <c r="K827" s="29">
        <v>13283.87011514541</v>
      </c>
      <c r="L827" s="30">
        <v>40040.41999999999</v>
      </c>
      <c r="M827" s="29">
        <v>5.3189173863587046E8</v>
      </c>
      <c r="N827" s="31" t="s">
        <v>934</v>
      </c>
      <c r="O827" s="32"/>
      <c r="P827" s="33" t="str">
        <f t="array" ref="P827">IFERROR(
HYPERLINK(
"https://drive.google.com/file/d/"&amp;
XLOOKUP(O827,'Hoa-Don'!A:A,'Hoa-Don'!D:D)
&amp;"/view",
"🔎"
),
""
)</f>
        <v/>
      </c>
    </row>
    <row r="828" ht="22.5" customHeight="1">
      <c r="A828" s="21">
        <v>827.0</v>
      </c>
      <c r="B828" s="22">
        <v>44130.0</v>
      </c>
      <c r="C828" s="23">
        <v>428.0</v>
      </c>
      <c r="D828" s="24" t="s">
        <v>935</v>
      </c>
      <c r="E828" s="35" t="s">
        <v>18</v>
      </c>
      <c r="F828" s="26"/>
      <c r="G828" s="36" t="s">
        <v>42</v>
      </c>
      <c r="H828" s="28">
        <v>1064.9</v>
      </c>
      <c r="I828" s="28">
        <v>11490.93576774727</v>
      </c>
      <c r="J828" s="29">
        <v>1.223669749907407E7</v>
      </c>
      <c r="K828" s="29">
        <v>11490.93576774727</v>
      </c>
      <c r="L828" s="30">
        <v>7260.0800000000145</v>
      </c>
      <c r="M828" s="29">
        <v>8.342511294870678E7</v>
      </c>
      <c r="N828" s="31" t="s">
        <v>936</v>
      </c>
      <c r="O828" s="32"/>
      <c r="P828" s="33" t="str">
        <f t="array" ref="P828">IFERROR(
HYPERLINK(
"https://drive.google.com/file/d/"&amp;
XLOOKUP(O828,'Hoa-Don'!A:A,'Hoa-Don'!D:D)
&amp;"/view",
"🔎"
),
""
)</f>
        <v/>
      </c>
    </row>
    <row r="829" ht="22.5" customHeight="1">
      <c r="A829" s="21">
        <v>828.0</v>
      </c>
      <c r="B829" s="22">
        <v>44131.0</v>
      </c>
      <c r="C829" s="23">
        <v>429.0</v>
      </c>
      <c r="D829" s="24" t="s">
        <v>937</v>
      </c>
      <c r="E829" s="25" t="s">
        <v>11</v>
      </c>
      <c r="F829" s="26"/>
      <c r="G829" s="36" t="s">
        <v>42</v>
      </c>
      <c r="H829" s="28">
        <v>1250.0</v>
      </c>
      <c r="I829" s="28">
        <v>13283.87011514541</v>
      </c>
      <c r="J829" s="29">
        <v>1.6604837643931761E7</v>
      </c>
      <c r="K829" s="29">
        <v>13283.87011514541</v>
      </c>
      <c r="L829" s="30">
        <v>38790.41999999999</v>
      </c>
      <c r="M829" s="29">
        <v>5.152869009919387E8</v>
      </c>
      <c r="N829" s="31" t="s">
        <v>938</v>
      </c>
      <c r="O829" s="32"/>
      <c r="P829" s="33" t="str">
        <f t="array" ref="P829">IFERROR(
HYPERLINK(
"https://drive.google.com/file/d/"&amp;
XLOOKUP(O829,'Hoa-Don'!A:A,'Hoa-Don'!D:D)
&amp;"/view",
"🔎"
),
""
)</f>
        <v/>
      </c>
    </row>
    <row r="830" ht="22.5" customHeight="1">
      <c r="A830" s="21">
        <v>829.0</v>
      </c>
      <c r="B830" s="22">
        <v>44132.0</v>
      </c>
      <c r="C830" s="23">
        <v>404.0</v>
      </c>
      <c r="D830" s="24" t="s">
        <v>725</v>
      </c>
      <c r="E830" s="35" t="s">
        <v>18</v>
      </c>
      <c r="F830" s="26"/>
      <c r="G830" s="27" t="s">
        <v>38</v>
      </c>
      <c r="H830" s="28">
        <v>1722.0</v>
      </c>
      <c r="I830" s="28">
        <v>11363.64</v>
      </c>
      <c r="J830" s="29">
        <v>1.956818808E7</v>
      </c>
      <c r="K830" s="29">
        <v>11466.53125208266</v>
      </c>
      <c r="L830" s="30">
        <v>8982.080000000014</v>
      </c>
      <c r="M830" s="29">
        <v>1.0299330102870677E8</v>
      </c>
      <c r="N830" s="31" t="s">
        <v>939</v>
      </c>
      <c r="O830" s="32"/>
      <c r="P830" s="33" t="str">
        <f t="array" ref="P830">IFERROR(
HYPERLINK(
"https://drive.google.com/file/d/"&amp;
XLOOKUP(O830,'Hoa-Don'!A:A,'Hoa-Don'!D:D)
&amp;"/view",
"🔎"
),
""
)</f>
        <v/>
      </c>
    </row>
    <row r="831" ht="22.5" customHeight="1">
      <c r="A831" s="21">
        <v>830.0</v>
      </c>
      <c r="B831" s="22">
        <v>44132.0</v>
      </c>
      <c r="C831" s="23">
        <v>430.0</v>
      </c>
      <c r="D831" s="24" t="s">
        <v>935</v>
      </c>
      <c r="E831" s="35" t="s">
        <v>18</v>
      </c>
      <c r="F831" s="26"/>
      <c r="G831" s="36" t="s">
        <v>42</v>
      </c>
      <c r="H831" s="28">
        <v>1066.73</v>
      </c>
      <c r="I831" s="28">
        <v>11466.53125208266</v>
      </c>
      <c r="J831" s="29">
        <v>1.2231692882534135E7</v>
      </c>
      <c r="K831" s="29">
        <v>11466.53125208266</v>
      </c>
      <c r="L831" s="30">
        <v>7915.350000000015</v>
      </c>
      <c r="M831" s="29">
        <v>9.076160814617264E7</v>
      </c>
      <c r="N831" s="31" t="s">
        <v>940</v>
      </c>
      <c r="O831" s="32"/>
      <c r="P831" s="33" t="str">
        <f t="array" ref="P831">IFERROR(
HYPERLINK(
"https://drive.google.com/file/d/"&amp;
XLOOKUP(O831,'Hoa-Don'!A:A,'Hoa-Don'!D:D)
&amp;"/view",
"🔎"
),
""
)</f>
        <v/>
      </c>
    </row>
    <row r="832" ht="22.5" customHeight="1">
      <c r="A832" s="21">
        <v>831.0</v>
      </c>
      <c r="B832" s="22">
        <v>44133.0</v>
      </c>
      <c r="C832" s="23">
        <v>143.0</v>
      </c>
      <c r="D832" s="24" t="s">
        <v>155</v>
      </c>
      <c r="E832" s="35" t="s">
        <v>18</v>
      </c>
      <c r="F832" s="26"/>
      <c r="G832" s="27" t="s">
        <v>38</v>
      </c>
      <c r="H832" s="28">
        <v>3044.0</v>
      </c>
      <c r="I832" s="28">
        <v>10909.09</v>
      </c>
      <c r="J832" s="29">
        <v>3.320726996E7</v>
      </c>
      <c r="K832" s="29">
        <v>11311.699882399274</v>
      </c>
      <c r="L832" s="30">
        <v>10959.350000000015</v>
      </c>
      <c r="M832" s="29">
        <v>1.2396887810617265E8</v>
      </c>
      <c r="N832" s="31" t="s">
        <v>941</v>
      </c>
      <c r="O832" s="32"/>
      <c r="P832" s="33" t="str">
        <f t="array" ref="P832">IFERROR(
HYPERLINK(
"https://drive.google.com/file/d/"&amp;
XLOOKUP(O832,'Hoa-Don'!A:A,'Hoa-Don'!D:D)
&amp;"/view",
"🔎"
),
""
)</f>
        <v/>
      </c>
    </row>
    <row r="833" ht="22.5" customHeight="1">
      <c r="A833" s="21">
        <v>832.0</v>
      </c>
      <c r="B833" s="22">
        <v>44135.0</v>
      </c>
      <c r="C833" s="23">
        <v>431.0</v>
      </c>
      <c r="D833" s="24" t="s">
        <v>130</v>
      </c>
      <c r="E833" s="25" t="s">
        <v>11</v>
      </c>
      <c r="F833" s="26"/>
      <c r="G833" s="36" t="s">
        <v>42</v>
      </c>
      <c r="H833" s="28">
        <v>185.0</v>
      </c>
      <c r="I833" s="28">
        <v>13283.87011514541</v>
      </c>
      <c r="J833" s="29">
        <v>2457515.9713019007</v>
      </c>
      <c r="K833" s="29">
        <v>13283.87011514541</v>
      </c>
      <c r="L833" s="30">
        <v>38605.41999999999</v>
      </c>
      <c r="M833" s="29">
        <v>5.128293850206368E8</v>
      </c>
      <c r="N833" s="31" t="s">
        <v>942</v>
      </c>
      <c r="O833" s="32"/>
      <c r="P833" s="33" t="str">
        <f t="array" ref="P833">IFERROR(
HYPERLINK(
"https://drive.google.com/file/d/"&amp;
XLOOKUP(O833,'Hoa-Don'!A:A,'Hoa-Don'!D:D)
&amp;"/view",
"🔎"
),
""
)</f>
        <v/>
      </c>
    </row>
    <row r="834" ht="22.5" customHeight="1">
      <c r="A834" s="21">
        <v>833.0</v>
      </c>
      <c r="B834" s="22">
        <v>44136.0</v>
      </c>
      <c r="C834" s="23">
        <v>432.0</v>
      </c>
      <c r="D834" s="24" t="s">
        <v>943</v>
      </c>
      <c r="E834" s="37" t="s">
        <v>16</v>
      </c>
      <c r="F834" s="26"/>
      <c r="G834" s="36" t="s">
        <v>42</v>
      </c>
      <c r="H834" s="28">
        <v>200.0</v>
      </c>
      <c r="I834" s="28">
        <v>14513.660821349476</v>
      </c>
      <c r="J834" s="29">
        <v>2902732.1642698953</v>
      </c>
      <c r="K834" s="29">
        <v>14513.660821349476</v>
      </c>
      <c r="L834" s="30">
        <v>829.0</v>
      </c>
      <c r="M834" s="29">
        <v>1.2031824820898715E7</v>
      </c>
      <c r="N834" s="31" t="s">
        <v>944</v>
      </c>
      <c r="O834" s="32"/>
      <c r="P834" s="33" t="str">
        <f t="array" ref="P834">IFERROR(
HYPERLINK(
"https://drive.google.com/file/d/"&amp;
XLOOKUP(O834,'Hoa-Don'!A:A,'Hoa-Don'!D:D)
&amp;"/view",
"🔎"
),
""
)</f>
        <v/>
      </c>
    </row>
    <row r="835" ht="22.5" customHeight="1">
      <c r="A835" s="21">
        <v>834.0</v>
      </c>
      <c r="B835" s="22">
        <v>44136.0</v>
      </c>
      <c r="C835" s="23">
        <v>432.0</v>
      </c>
      <c r="D835" s="24" t="s">
        <v>943</v>
      </c>
      <c r="E835" s="25" t="s">
        <v>11</v>
      </c>
      <c r="F835" s="26"/>
      <c r="G835" s="36" t="s">
        <v>42</v>
      </c>
      <c r="H835" s="28">
        <v>1050.0</v>
      </c>
      <c r="I835" s="28">
        <v>13283.87011514541</v>
      </c>
      <c r="J835" s="29">
        <v>1.394806362090268E7</v>
      </c>
      <c r="K835" s="29">
        <v>13283.87011514541</v>
      </c>
      <c r="L835" s="30">
        <v>37555.41999999999</v>
      </c>
      <c r="M835" s="29">
        <v>4.988813213997341E8</v>
      </c>
      <c r="N835" s="31" t="s">
        <v>945</v>
      </c>
      <c r="O835" s="32"/>
      <c r="P835" s="33" t="str">
        <f t="array" ref="P835">IFERROR(
HYPERLINK(
"https://drive.google.com/file/d/"&amp;
XLOOKUP(O835,'Hoa-Don'!A:A,'Hoa-Don'!D:D)
&amp;"/view",
"🔎"
),
""
)</f>
        <v/>
      </c>
    </row>
    <row r="836" ht="22.5" customHeight="1">
      <c r="A836" s="21">
        <v>835.0</v>
      </c>
      <c r="B836" s="22">
        <v>44137.0</v>
      </c>
      <c r="C836" s="23">
        <v>433.0</v>
      </c>
      <c r="D836" s="24" t="s">
        <v>943</v>
      </c>
      <c r="E836" s="37" t="s">
        <v>16</v>
      </c>
      <c r="F836" s="26"/>
      <c r="G836" s="36" t="s">
        <v>42</v>
      </c>
      <c r="H836" s="28">
        <v>205.0</v>
      </c>
      <c r="I836" s="28">
        <v>14513.660821349476</v>
      </c>
      <c r="J836" s="29">
        <v>2975300.4683766426</v>
      </c>
      <c r="K836" s="29">
        <v>14513.660821349476</v>
      </c>
      <c r="L836" s="30">
        <v>624.0</v>
      </c>
      <c r="M836" s="29">
        <v>9056524.352522073</v>
      </c>
      <c r="N836" s="31" t="s">
        <v>946</v>
      </c>
      <c r="O836" s="32"/>
      <c r="P836" s="33" t="str">
        <f t="array" ref="P836">IFERROR(
HYPERLINK(
"https://drive.google.com/file/d/"&amp;
XLOOKUP(O836,'Hoa-Don'!A:A,'Hoa-Don'!D:D)
&amp;"/view",
"🔎"
),
""
)</f>
        <v/>
      </c>
    </row>
    <row r="837" ht="22.5" customHeight="1">
      <c r="A837" s="21">
        <v>836.0</v>
      </c>
      <c r="B837" s="22">
        <v>44137.0</v>
      </c>
      <c r="C837" s="23">
        <v>433.0</v>
      </c>
      <c r="D837" s="24" t="s">
        <v>943</v>
      </c>
      <c r="E837" s="25" t="s">
        <v>11</v>
      </c>
      <c r="F837" s="26"/>
      <c r="G837" s="36" t="s">
        <v>42</v>
      </c>
      <c r="H837" s="28">
        <v>1008.0</v>
      </c>
      <c r="I837" s="28">
        <v>13283.87011514541</v>
      </c>
      <c r="J837" s="29">
        <v>1.3390141076066572E7</v>
      </c>
      <c r="K837" s="29">
        <v>13283.87011514541</v>
      </c>
      <c r="L837" s="30">
        <v>36547.41999999999</v>
      </c>
      <c r="M837" s="29">
        <v>4.854911803236675E8</v>
      </c>
      <c r="N837" s="31" t="s">
        <v>947</v>
      </c>
      <c r="O837" s="32"/>
      <c r="P837" s="33" t="str">
        <f t="array" ref="P837">IFERROR(
HYPERLINK(
"https://drive.google.com/file/d/"&amp;
XLOOKUP(O837,'Hoa-Don'!A:A,'Hoa-Don'!D:D)
&amp;"/view",
"🔎"
),
""
)</f>
        <v/>
      </c>
    </row>
    <row r="838" ht="22.5" customHeight="1">
      <c r="A838" s="21">
        <v>837.0</v>
      </c>
      <c r="B838" s="22">
        <v>44138.0</v>
      </c>
      <c r="C838" s="23">
        <v>434.0</v>
      </c>
      <c r="D838" s="24" t="s">
        <v>943</v>
      </c>
      <c r="E838" s="37" t="s">
        <v>16</v>
      </c>
      <c r="F838" s="26"/>
      <c r="G838" s="36" t="s">
        <v>42</v>
      </c>
      <c r="H838" s="28">
        <v>200.0</v>
      </c>
      <c r="I838" s="28">
        <v>14513.660821349476</v>
      </c>
      <c r="J838" s="29">
        <v>2902732.1642698953</v>
      </c>
      <c r="K838" s="29">
        <v>14513.660821349476</v>
      </c>
      <c r="L838" s="30">
        <v>424.0</v>
      </c>
      <c r="M838" s="29">
        <v>6153792.188252178</v>
      </c>
      <c r="N838" s="31" t="s">
        <v>948</v>
      </c>
      <c r="O838" s="32"/>
      <c r="P838" s="33" t="str">
        <f t="array" ref="P838">IFERROR(
HYPERLINK(
"https://drive.google.com/file/d/"&amp;
XLOOKUP(O838,'Hoa-Don'!A:A,'Hoa-Don'!D:D)
&amp;"/view",
"🔎"
),
""
)</f>
        <v/>
      </c>
    </row>
    <row r="839" ht="22.5" customHeight="1">
      <c r="A839" s="21">
        <v>838.0</v>
      </c>
      <c r="B839" s="22">
        <v>44138.0</v>
      </c>
      <c r="C839" s="23">
        <v>434.0</v>
      </c>
      <c r="D839" s="24" t="s">
        <v>943</v>
      </c>
      <c r="E839" s="25" t="s">
        <v>11</v>
      </c>
      <c r="F839" s="26"/>
      <c r="G839" s="36" t="s">
        <v>42</v>
      </c>
      <c r="H839" s="28">
        <v>1030.0</v>
      </c>
      <c r="I839" s="28">
        <v>13283.87011514541</v>
      </c>
      <c r="J839" s="29">
        <v>1.3682386218599772E7</v>
      </c>
      <c r="K839" s="29">
        <v>13283.87011514541</v>
      </c>
      <c r="L839" s="30">
        <v>35517.41999999999</v>
      </c>
      <c r="M839" s="29">
        <v>4.7180879410506773E8</v>
      </c>
      <c r="N839" s="31" t="s">
        <v>949</v>
      </c>
      <c r="O839" s="32"/>
      <c r="P839" s="33" t="str">
        <f t="array" ref="P839">IFERROR(
HYPERLINK(
"https://drive.google.com/file/d/"&amp;
XLOOKUP(O839,'Hoa-Don'!A:A,'Hoa-Don'!D:D)
&amp;"/view",
"🔎"
),
""
)</f>
        <v/>
      </c>
    </row>
    <row r="840" ht="22.5" customHeight="1">
      <c r="A840" s="21">
        <v>839.0</v>
      </c>
      <c r="B840" s="22">
        <v>44142.0</v>
      </c>
      <c r="C840" s="23">
        <v>75.0</v>
      </c>
      <c r="D840" s="24" t="s">
        <v>950</v>
      </c>
      <c r="E840" s="35" t="s">
        <v>18</v>
      </c>
      <c r="F840" s="26"/>
      <c r="G840" s="27" t="s">
        <v>38</v>
      </c>
      <c r="H840" s="28">
        <v>3656.0</v>
      </c>
      <c r="I840" s="28">
        <v>11818.18</v>
      </c>
      <c r="J840" s="29">
        <v>4.320726608E7</v>
      </c>
      <c r="K840" s="29">
        <v>11438.394851041712</v>
      </c>
      <c r="L840" s="30">
        <v>14615.350000000015</v>
      </c>
      <c r="M840" s="29">
        <v>1.6717614418617266E8</v>
      </c>
      <c r="N840" s="31" t="s">
        <v>951</v>
      </c>
      <c r="O840" s="32"/>
      <c r="P840" s="33" t="str">
        <f t="array" ref="P840">IFERROR(
HYPERLINK(
"https://drive.google.com/file/d/"&amp;
XLOOKUP(O840,'Hoa-Don'!A:A,'Hoa-Don'!D:D)
&amp;"/view",
"🔎"
),
""
)</f>
        <v/>
      </c>
    </row>
    <row r="841" ht="22.5" customHeight="1">
      <c r="A841" s="21">
        <v>840.0</v>
      </c>
      <c r="B841" s="22">
        <v>44142.0</v>
      </c>
      <c r="C841" s="23">
        <v>75.0</v>
      </c>
      <c r="D841" s="24" t="s">
        <v>950</v>
      </c>
      <c r="E841" s="35" t="s">
        <v>18</v>
      </c>
      <c r="F841" s="26"/>
      <c r="G841" s="27" t="s">
        <v>38</v>
      </c>
      <c r="H841" s="28">
        <v>2156.0</v>
      </c>
      <c r="I841" s="28">
        <v>11363.64</v>
      </c>
      <c r="J841" s="29">
        <v>2.450000784E7</v>
      </c>
      <c r="K841" s="29">
        <v>11428.78492346606</v>
      </c>
      <c r="L841" s="30">
        <v>16771.350000000013</v>
      </c>
      <c r="M841" s="29">
        <v>1.9167615202617267E8</v>
      </c>
      <c r="N841" s="31" t="s">
        <v>952</v>
      </c>
      <c r="O841" s="32"/>
      <c r="P841" s="33" t="str">
        <f t="array" ref="P841">IFERROR(
HYPERLINK(
"https://drive.google.com/file/d/"&amp;
XLOOKUP(O841,'Hoa-Don'!A:A,'Hoa-Don'!D:D)
&amp;"/view",
"🔎"
),
""
)</f>
        <v/>
      </c>
    </row>
    <row r="842" ht="22.5" customHeight="1">
      <c r="A842" s="21">
        <v>841.0</v>
      </c>
      <c r="B842" s="22">
        <v>44145.0</v>
      </c>
      <c r="C842" s="23">
        <v>435.0</v>
      </c>
      <c r="D842" s="24" t="s">
        <v>877</v>
      </c>
      <c r="E842" s="35" t="s">
        <v>18</v>
      </c>
      <c r="F842" s="26"/>
      <c r="G842" s="36" t="s">
        <v>42</v>
      </c>
      <c r="H842" s="28">
        <v>954.0</v>
      </c>
      <c r="I842" s="28">
        <v>11428.78492346606</v>
      </c>
      <c r="J842" s="29">
        <v>1.0903060816986622E7</v>
      </c>
      <c r="K842" s="29">
        <v>11428.78492346606</v>
      </c>
      <c r="L842" s="30">
        <v>15817.350000000013</v>
      </c>
      <c r="M842" s="29">
        <v>1.8077309120918605E8</v>
      </c>
      <c r="N842" s="31" t="s">
        <v>953</v>
      </c>
      <c r="O842" s="32"/>
      <c r="P842" s="33" t="str">
        <f t="array" ref="P842">IFERROR(
HYPERLINK(
"https://drive.google.com/file/d/"&amp;
XLOOKUP(O842,'Hoa-Don'!A:A,'Hoa-Don'!D:D)
&amp;"/view",
"🔎"
),
""
)</f>
        <v/>
      </c>
    </row>
    <row r="843" ht="22.5" customHeight="1">
      <c r="A843" s="21">
        <v>842.0</v>
      </c>
      <c r="B843" s="22">
        <v>44146.0</v>
      </c>
      <c r="C843" s="23">
        <v>436.0</v>
      </c>
      <c r="D843" s="24" t="s">
        <v>877</v>
      </c>
      <c r="E843" s="35" t="s">
        <v>18</v>
      </c>
      <c r="F843" s="26"/>
      <c r="G843" s="36" t="s">
        <v>42</v>
      </c>
      <c r="H843" s="28">
        <v>700.0</v>
      </c>
      <c r="I843" s="28">
        <v>11428.78492346606</v>
      </c>
      <c r="J843" s="29">
        <v>8000149.446426243</v>
      </c>
      <c r="K843" s="29">
        <v>11428.78492346606</v>
      </c>
      <c r="L843" s="30">
        <v>15117.350000000013</v>
      </c>
      <c r="M843" s="29">
        <v>1.727729417627598E8</v>
      </c>
      <c r="N843" s="31" t="s">
        <v>954</v>
      </c>
      <c r="O843" s="32"/>
      <c r="P843" s="33" t="str">
        <f t="array" ref="P843">IFERROR(
HYPERLINK(
"https://drive.google.com/file/d/"&amp;
XLOOKUP(O843,'Hoa-Don'!A:A,'Hoa-Don'!D:D)
&amp;"/view",
"🔎"
),
""
)</f>
        <v/>
      </c>
    </row>
    <row r="844" ht="22.5" customHeight="1">
      <c r="A844" s="21">
        <v>843.0</v>
      </c>
      <c r="B844" s="22">
        <v>44150.0</v>
      </c>
      <c r="C844" s="23">
        <v>437.0</v>
      </c>
      <c r="D844" s="24" t="s">
        <v>943</v>
      </c>
      <c r="E844" s="37" t="s">
        <v>16</v>
      </c>
      <c r="F844" s="26"/>
      <c r="G844" s="36" t="s">
        <v>42</v>
      </c>
      <c r="H844" s="28">
        <v>215.0</v>
      </c>
      <c r="I844" s="28">
        <v>14513.660821349476</v>
      </c>
      <c r="J844" s="29">
        <v>3120437.0765901376</v>
      </c>
      <c r="K844" s="29">
        <v>14513.660821349476</v>
      </c>
      <c r="L844" s="30">
        <v>209.0</v>
      </c>
      <c r="M844" s="29">
        <v>3033355.1116620405</v>
      </c>
      <c r="N844" s="31" t="s">
        <v>955</v>
      </c>
      <c r="O844" s="32"/>
      <c r="P844" s="33" t="str">
        <f t="array" ref="P844">IFERROR(
HYPERLINK(
"https://drive.google.com/file/d/"&amp;
XLOOKUP(O844,'Hoa-Don'!A:A,'Hoa-Don'!D:D)
&amp;"/view",
"🔎"
),
""
)</f>
        <v/>
      </c>
    </row>
    <row r="845" ht="22.5" customHeight="1">
      <c r="A845" s="21">
        <v>844.0</v>
      </c>
      <c r="B845" s="22">
        <v>44150.0</v>
      </c>
      <c r="C845" s="23">
        <v>437.0</v>
      </c>
      <c r="D845" s="24" t="s">
        <v>943</v>
      </c>
      <c r="E845" s="25" t="s">
        <v>11</v>
      </c>
      <c r="F845" s="26"/>
      <c r="G845" s="36" t="s">
        <v>42</v>
      </c>
      <c r="H845" s="28">
        <v>1050.0</v>
      </c>
      <c r="I845" s="28">
        <v>13283.87011514541</v>
      </c>
      <c r="J845" s="29">
        <v>1.394806362090268E7</v>
      </c>
      <c r="K845" s="29">
        <v>13283.87011514541</v>
      </c>
      <c r="L845" s="30">
        <v>34467.41999999999</v>
      </c>
      <c r="M845" s="29">
        <v>4.578607304841651E8</v>
      </c>
      <c r="N845" s="31" t="s">
        <v>956</v>
      </c>
      <c r="O845" s="32"/>
      <c r="P845" s="33" t="str">
        <f t="array" ref="P845">IFERROR(
HYPERLINK(
"https://drive.google.com/file/d/"&amp;
XLOOKUP(O845,'Hoa-Don'!A:A,'Hoa-Don'!D:D)
&amp;"/view",
"🔎"
),
""
)</f>
        <v/>
      </c>
    </row>
    <row r="846" ht="22.5" customHeight="1">
      <c r="A846" s="21">
        <v>845.0</v>
      </c>
      <c r="B846" s="22">
        <v>44154.0</v>
      </c>
      <c r="C846" s="23">
        <v>430.0</v>
      </c>
      <c r="D846" s="24" t="s">
        <v>725</v>
      </c>
      <c r="E846" s="35" t="s">
        <v>18</v>
      </c>
      <c r="F846" s="26"/>
      <c r="G846" s="27" t="s">
        <v>38</v>
      </c>
      <c r="H846" s="28">
        <v>3418.0</v>
      </c>
      <c r="I846" s="28">
        <v>12000.0</v>
      </c>
      <c r="J846" s="29">
        <v>4.1016E7</v>
      </c>
      <c r="K846" s="29">
        <v>11534.119493980941</v>
      </c>
      <c r="L846" s="30">
        <v>18535.350000000013</v>
      </c>
      <c r="M846" s="29">
        <v>2.137889417627598E8</v>
      </c>
      <c r="N846" s="31" t="s">
        <v>957</v>
      </c>
      <c r="O846" s="32"/>
      <c r="P846" s="33" t="str">
        <f t="array" ref="P846">IFERROR(
HYPERLINK(
"https://drive.google.com/file/d/"&amp;
XLOOKUP(O846,'Hoa-Don'!A:A,'Hoa-Don'!D:D)
&amp;"/view",
"🔎"
),
""
)</f>
        <v/>
      </c>
    </row>
    <row r="847" ht="22.5" customHeight="1">
      <c r="A847" s="21">
        <v>846.0</v>
      </c>
      <c r="B847" s="22">
        <v>44155.0</v>
      </c>
      <c r="C847" s="23">
        <v>160.0</v>
      </c>
      <c r="D847" s="24" t="s">
        <v>155</v>
      </c>
      <c r="E847" s="35" t="s">
        <v>18</v>
      </c>
      <c r="F847" s="26"/>
      <c r="G847" s="27" t="s">
        <v>38</v>
      </c>
      <c r="H847" s="28">
        <v>2908.0</v>
      </c>
      <c r="I847" s="28">
        <v>11454.55</v>
      </c>
      <c r="J847" s="29">
        <v>3.33098314E7</v>
      </c>
      <c r="K847" s="29">
        <v>11523.32882514904</v>
      </c>
      <c r="L847" s="30">
        <v>21443.350000000013</v>
      </c>
      <c r="M847" s="29">
        <v>2.470987731627598E8</v>
      </c>
      <c r="N847" s="31" t="s">
        <v>958</v>
      </c>
      <c r="O847" s="32"/>
      <c r="P847" s="33" t="str">
        <f t="array" ref="P847">IFERROR(
HYPERLINK(
"https://drive.google.com/file/d/"&amp;
XLOOKUP(O847,'Hoa-Don'!A:A,'Hoa-Don'!D:D)
&amp;"/view",
"🔎"
),
""
)</f>
        <v/>
      </c>
    </row>
    <row r="848" ht="22.5" customHeight="1">
      <c r="A848" s="21">
        <v>847.0</v>
      </c>
      <c r="B848" s="22">
        <v>44158.0</v>
      </c>
      <c r="C848" s="23">
        <v>439.0</v>
      </c>
      <c r="D848" s="24" t="s">
        <v>935</v>
      </c>
      <c r="E848" s="35" t="s">
        <v>18</v>
      </c>
      <c r="F848" s="26"/>
      <c r="G848" s="36" t="s">
        <v>42</v>
      </c>
      <c r="H848" s="28">
        <v>629.0</v>
      </c>
      <c r="I848" s="28">
        <v>11523.32882514904</v>
      </c>
      <c r="J848" s="29">
        <v>7248173.831018746</v>
      </c>
      <c r="K848" s="29">
        <v>11523.32882514904</v>
      </c>
      <c r="L848" s="30">
        <v>20814.350000000013</v>
      </c>
      <c r="M848" s="29">
        <v>2.3985059933174106E8</v>
      </c>
      <c r="N848" s="31" t="s">
        <v>959</v>
      </c>
      <c r="O848" s="32"/>
      <c r="P848" s="33" t="str">
        <f t="array" ref="P848">IFERROR(
HYPERLINK(
"https://drive.google.com/file/d/"&amp;
XLOOKUP(O848,'Hoa-Don'!A:A,'Hoa-Don'!D:D)
&amp;"/view",
"🔎"
),
""
)</f>
        <v/>
      </c>
    </row>
    <row r="849" ht="22.5" customHeight="1">
      <c r="A849" s="21">
        <v>848.0</v>
      </c>
      <c r="B849" s="22">
        <v>44158.0</v>
      </c>
      <c r="C849" s="23">
        <v>439.0</v>
      </c>
      <c r="D849" s="24" t="s">
        <v>935</v>
      </c>
      <c r="E849" s="35" t="s">
        <v>18</v>
      </c>
      <c r="F849" s="26"/>
      <c r="G849" s="36" t="s">
        <v>42</v>
      </c>
      <c r="H849" s="28">
        <v>40.0</v>
      </c>
      <c r="I849" s="28">
        <v>11523.32882514904</v>
      </c>
      <c r="J849" s="29">
        <v>460933.15300596156</v>
      </c>
      <c r="K849" s="29">
        <v>11523.32882514904</v>
      </c>
      <c r="L849" s="30">
        <v>20774.350000000013</v>
      </c>
      <c r="M849" s="29">
        <v>2.393896661787351E8</v>
      </c>
      <c r="N849" s="31" t="s">
        <v>960</v>
      </c>
      <c r="O849" s="32"/>
      <c r="P849" s="33" t="str">
        <f t="array" ref="P849">IFERROR(
HYPERLINK(
"https://drive.google.com/file/d/"&amp;
XLOOKUP(O849,'Hoa-Don'!A:A,'Hoa-Don'!D:D)
&amp;"/view",
"🔎"
),
""
)</f>
        <v/>
      </c>
    </row>
    <row r="850" ht="22.5" customHeight="1">
      <c r="A850" s="21">
        <v>849.0</v>
      </c>
      <c r="B850" s="22">
        <v>44158.0</v>
      </c>
      <c r="C850" s="23">
        <v>439.0</v>
      </c>
      <c r="D850" s="24" t="s">
        <v>935</v>
      </c>
      <c r="E850" s="35" t="s">
        <v>18</v>
      </c>
      <c r="F850" s="26"/>
      <c r="G850" s="36" t="s">
        <v>42</v>
      </c>
      <c r="H850" s="28">
        <v>63.0</v>
      </c>
      <c r="I850" s="28">
        <v>11523.32882514904</v>
      </c>
      <c r="J850" s="29">
        <v>725969.7159843895</v>
      </c>
      <c r="K850" s="29">
        <v>11523.32882514904</v>
      </c>
      <c r="L850" s="30">
        <v>20711.350000000013</v>
      </c>
      <c r="M850" s="29">
        <v>2.386636964627507E8</v>
      </c>
      <c r="N850" s="31" t="s">
        <v>961</v>
      </c>
      <c r="O850" s="32"/>
      <c r="P850" s="33" t="str">
        <f t="array" ref="P850">IFERROR(
HYPERLINK(
"https://drive.google.com/file/d/"&amp;
XLOOKUP(O850,'Hoa-Don'!A:A,'Hoa-Don'!D:D)
&amp;"/view",
"🔎"
),
""
)</f>
        <v/>
      </c>
    </row>
    <row r="851" ht="22.5" customHeight="1">
      <c r="A851" s="21">
        <v>850.0</v>
      </c>
      <c r="B851" s="22">
        <v>44158.0</v>
      </c>
      <c r="C851" s="23">
        <v>439.0</v>
      </c>
      <c r="D851" s="24" t="s">
        <v>935</v>
      </c>
      <c r="E851" s="35" t="s">
        <v>18</v>
      </c>
      <c r="F851" s="26"/>
      <c r="G851" s="36" t="s">
        <v>42</v>
      </c>
      <c r="H851" s="28">
        <v>79.0</v>
      </c>
      <c r="I851" s="28">
        <v>11523.32882514904</v>
      </c>
      <c r="J851" s="29">
        <v>910342.9771867741</v>
      </c>
      <c r="K851" s="29">
        <v>11523.32882514904</v>
      </c>
      <c r="L851" s="30">
        <v>20632.350000000013</v>
      </c>
      <c r="M851" s="29">
        <v>2.3775335348556393E8</v>
      </c>
      <c r="N851" s="31" t="s">
        <v>962</v>
      </c>
      <c r="O851" s="32"/>
      <c r="P851" s="33" t="str">
        <f t="array" ref="P851">IFERROR(
HYPERLINK(
"https://drive.google.com/file/d/"&amp;
XLOOKUP(O851,'Hoa-Don'!A:A,'Hoa-Don'!D:D)
&amp;"/view",
"🔎"
),
""
)</f>
        <v/>
      </c>
    </row>
    <row r="852" ht="22.5" customHeight="1">
      <c r="A852" s="21">
        <v>851.0</v>
      </c>
      <c r="B852" s="22">
        <v>44158.0</v>
      </c>
      <c r="C852" s="23">
        <v>439.0</v>
      </c>
      <c r="D852" s="24" t="s">
        <v>935</v>
      </c>
      <c r="E852" s="35" t="s">
        <v>18</v>
      </c>
      <c r="F852" s="26"/>
      <c r="G852" s="36" t="s">
        <v>42</v>
      </c>
      <c r="H852" s="28">
        <v>124.5</v>
      </c>
      <c r="I852" s="28">
        <v>11523.32882514904</v>
      </c>
      <c r="J852" s="29">
        <v>1434654.4387310555</v>
      </c>
      <c r="K852" s="29">
        <v>11523.32882514904</v>
      </c>
      <c r="L852" s="30">
        <v>20507.850000000013</v>
      </c>
      <c r="M852" s="29">
        <v>2.363186990468329E8</v>
      </c>
      <c r="N852" s="31" t="s">
        <v>963</v>
      </c>
      <c r="O852" s="32"/>
      <c r="P852" s="33" t="str">
        <f t="array" ref="P852">IFERROR(
HYPERLINK(
"https://drive.google.com/file/d/"&amp;
XLOOKUP(O852,'Hoa-Don'!A:A,'Hoa-Don'!D:D)
&amp;"/view",
"🔎"
),
""
)</f>
        <v/>
      </c>
    </row>
    <row r="853" ht="22.5" customHeight="1">
      <c r="A853" s="21">
        <v>852.0</v>
      </c>
      <c r="B853" s="22">
        <v>44158.0</v>
      </c>
      <c r="C853" s="23">
        <v>439.0</v>
      </c>
      <c r="D853" s="24" t="s">
        <v>935</v>
      </c>
      <c r="E853" s="35" t="s">
        <v>18</v>
      </c>
      <c r="F853" s="26"/>
      <c r="G853" s="36" t="s">
        <v>42</v>
      </c>
      <c r="H853" s="28">
        <v>113.0</v>
      </c>
      <c r="I853" s="28">
        <v>11523.32882514904</v>
      </c>
      <c r="J853" s="29">
        <v>1302136.1572418415</v>
      </c>
      <c r="K853" s="29">
        <v>11523.32882514904</v>
      </c>
      <c r="L853" s="30">
        <v>20394.850000000013</v>
      </c>
      <c r="M853" s="29">
        <v>2.3501656288959104E8</v>
      </c>
      <c r="N853" s="31" t="s">
        <v>964</v>
      </c>
      <c r="O853" s="32"/>
      <c r="P853" s="33" t="str">
        <f t="array" ref="P853">IFERROR(
HYPERLINK(
"https://drive.google.com/file/d/"&amp;
XLOOKUP(O853,'Hoa-Don'!A:A,'Hoa-Don'!D:D)
&amp;"/view",
"🔎"
),
""
)</f>
        <v/>
      </c>
    </row>
    <row r="854" ht="22.5" customHeight="1">
      <c r="A854" s="21">
        <v>853.0</v>
      </c>
      <c r="B854" s="22">
        <v>44159.0</v>
      </c>
      <c r="C854" s="23">
        <v>440.0</v>
      </c>
      <c r="D854" s="24" t="s">
        <v>935</v>
      </c>
      <c r="E854" s="35" t="s">
        <v>18</v>
      </c>
      <c r="F854" s="26"/>
      <c r="G854" s="36" t="s">
        <v>42</v>
      </c>
      <c r="H854" s="28">
        <v>1061.62</v>
      </c>
      <c r="I854" s="28">
        <v>11523.32882514904</v>
      </c>
      <c r="J854" s="29">
        <v>1.2233396347354721E7</v>
      </c>
      <c r="K854" s="29">
        <v>11523.32882514904</v>
      </c>
      <c r="L854" s="30">
        <v>19333.230000000014</v>
      </c>
      <c r="M854" s="29">
        <v>2.2278316654223633E8</v>
      </c>
      <c r="N854" s="31" t="s">
        <v>965</v>
      </c>
      <c r="O854" s="32"/>
      <c r="P854" s="33" t="str">
        <f t="array" ref="P854">IFERROR(
HYPERLINK(
"https://drive.google.com/file/d/"&amp;
XLOOKUP(O854,'Hoa-Don'!A:A,'Hoa-Don'!D:D)
&amp;"/view",
"🔎"
),
""
)</f>
        <v/>
      </c>
    </row>
    <row r="855" ht="22.5" customHeight="1">
      <c r="A855" s="21">
        <v>854.0</v>
      </c>
      <c r="B855" s="22">
        <v>44163.0</v>
      </c>
      <c r="C855" s="23">
        <v>91.0</v>
      </c>
      <c r="D855" s="24" t="s">
        <v>950</v>
      </c>
      <c r="E855" s="35" t="s">
        <v>18</v>
      </c>
      <c r="F855" s="26"/>
      <c r="G855" s="27" t="s">
        <v>38</v>
      </c>
      <c r="H855" s="28">
        <v>14860.0</v>
      </c>
      <c r="I855" s="28">
        <v>12636.4</v>
      </c>
      <c r="J855" s="29">
        <v>1.87776904E8</v>
      </c>
      <c r="K855" s="29">
        <v>12007.057260815553</v>
      </c>
      <c r="L855" s="30">
        <v>34193.23000000001</v>
      </c>
      <c r="M855" s="29">
        <v>4.105600705422363E8</v>
      </c>
      <c r="N855" s="31" t="s">
        <v>966</v>
      </c>
      <c r="O855" s="32"/>
      <c r="P855" s="33" t="str">
        <f t="array" ref="P855">IFERROR(
HYPERLINK(
"https://drive.google.com/file/d/"&amp;
XLOOKUP(O855,'Hoa-Don'!A:A,'Hoa-Don'!D:D)
&amp;"/view",
"🔎"
),
""
)</f>
        <v/>
      </c>
    </row>
    <row r="856" ht="22.5" customHeight="1">
      <c r="A856" s="21">
        <v>855.0</v>
      </c>
      <c r="B856" s="22">
        <v>44164.0</v>
      </c>
      <c r="C856" s="23">
        <v>441.0</v>
      </c>
      <c r="D856" s="24" t="s">
        <v>460</v>
      </c>
      <c r="E856" s="35" t="s">
        <v>18</v>
      </c>
      <c r="F856" s="26"/>
      <c r="G856" s="36" t="s">
        <v>42</v>
      </c>
      <c r="H856" s="28">
        <v>7410.0</v>
      </c>
      <c r="I856" s="28">
        <v>12007.057260815553</v>
      </c>
      <c r="J856" s="29">
        <v>8.897229430264324E7</v>
      </c>
      <c r="K856" s="29">
        <v>12007.057260815553</v>
      </c>
      <c r="L856" s="30">
        <v>26783.23000000001</v>
      </c>
      <c r="M856" s="29">
        <v>3.21587776239593E8</v>
      </c>
      <c r="N856" s="31" t="s">
        <v>967</v>
      </c>
      <c r="O856" s="32"/>
      <c r="P856" s="33" t="str">
        <f t="array" ref="P856">IFERROR(
HYPERLINK(
"https://drive.google.com/file/d/"&amp;
XLOOKUP(O856,'Hoa-Don'!A:A,'Hoa-Don'!D:D)
&amp;"/view",
"🔎"
),
""
)</f>
        <v/>
      </c>
    </row>
    <row r="857" ht="22.5" customHeight="1">
      <c r="A857" s="21">
        <v>856.0</v>
      </c>
      <c r="B857" s="22">
        <v>44164.0</v>
      </c>
      <c r="C857" s="23">
        <v>442.0</v>
      </c>
      <c r="D857" s="24" t="s">
        <v>968</v>
      </c>
      <c r="E857" s="25" t="s">
        <v>11</v>
      </c>
      <c r="F857" s="26"/>
      <c r="G857" s="36" t="s">
        <v>42</v>
      </c>
      <c r="H857" s="28">
        <v>2592.0</v>
      </c>
      <c r="I857" s="28">
        <v>13283.87011514541</v>
      </c>
      <c r="J857" s="29">
        <v>3.44317913384569E7</v>
      </c>
      <c r="K857" s="29">
        <v>13283.87011514541</v>
      </c>
      <c r="L857" s="30">
        <v>31875.41999999999</v>
      </c>
      <c r="M857" s="29">
        <v>4.234289391457082E8</v>
      </c>
      <c r="N857" s="31" t="s">
        <v>969</v>
      </c>
      <c r="O857" s="32"/>
      <c r="P857" s="33" t="str">
        <f t="array" ref="P857">IFERROR(
HYPERLINK(
"https://drive.google.com/file/d/"&amp;
XLOOKUP(O857,'Hoa-Don'!A:A,'Hoa-Don'!D:D)
&amp;"/view",
"🔎"
),
""
)</f>
        <v/>
      </c>
    </row>
    <row r="858" ht="22.5" customHeight="1">
      <c r="A858" s="21">
        <v>857.0</v>
      </c>
      <c r="B858" s="22">
        <v>44164.0</v>
      </c>
      <c r="C858" s="23">
        <v>442.0</v>
      </c>
      <c r="D858" s="24" t="s">
        <v>968</v>
      </c>
      <c r="E858" s="35" t="s">
        <v>18</v>
      </c>
      <c r="F858" s="26"/>
      <c r="G858" s="36" t="s">
        <v>42</v>
      </c>
      <c r="H858" s="28">
        <v>274.0</v>
      </c>
      <c r="I858" s="28">
        <v>12007.057260815553</v>
      </c>
      <c r="J858" s="29">
        <v>3289933.6894634613</v>
      </c>
      <c r="K858" s="29">
        <v>12007.057260815553</v>
      </c>
      <c r="L858" s="30">
        <v>26509.23000000001</v>
      </c>
      <c r="M858" s="29">
        <v>3.182978425501296E8</v>
      </c>
      <c r="N858" s="31" t="s">
        <v>970</v>
      </c>
      <c r="O858" s="32"/>
      <c r="P858" s="33" t="str">
        <f t="array" ref="P858">IFERROR(
HYPERLINK(
"https://drive.google.com/file/d/"&amp;
XLOOKUP(O858,'Hoa-Don'!A:A,'Hoa-Don'!D:D)
&amp;"/view",
"🔎"
),
""
)</f>
        <v/>
      </c>
    </row>
    <row r="859" ht="22.5" customHeight="1">
      <c r="A859" s="21">
        <v>858.0</v>
      </c>
      <c r="B859" s="22">
        <v>44165.0</v>
      </c>
      <c r="C859" s="23">
        <v>443.0</v>
      </c>
      <c r="D859" s="24" t="s">
        <v>130</v>
      </c>
      <c r="E859" s="25" t="s">
        <v>11</v>
      </c>
      <c r="F859" s="26"/>
      <c r="G859" s="36" t="s">
        <v>42</v>
      </c>
      <c r="H859" s="28">
        <v>140.0</v>
      </c>
      <c r="I859" s="28">
        <v>13283.87011514541</v>
      </c>
      <c r="J859" s="29">
        <v>1859741.8161203573</v>
      </c>
      <c r="K859" s="29">
        <v>13283.87011514541</v>
      </c>
      <c r="L859" s="30">
        <v>31735.41999999999</v>
      </c>
      <c r="M859" s="29">
        <v>4.215691973295878E8</v>
      </c>
      <c r="N859" s="31" t="s">
        <v>971</v>
      </c>
      <c r="O859" s="32"/>
      <c r="P859" s="33" t="str">
        <f t="array" ref="P859">IFERROR(
HYPERLINK(
"https://drive.google.com/file/d/"&amp;
XLOOKUP(O859,'Hoa-Don'!A:A,'Hoa-Don'!D:D)
&amp;"/view",
"🔎"
),
""
)</f>
        <v/>
      </c>
    </row>
    <row r="860" ht="22.5" customHeight="1">
      <c r="A860" s="21">
        <v>859.0</v>
      </c>
      <c r="B860" s="22">
        <v>44170.0</v>
      </c>
      <c r="C860" s="23">
        <v>444.0</v>
      </c>
      <c r="D860" s="24" t="s">
        <v>845</v>
      </c>
      <c r="E860" s="35" t="s">
        <v>18</v>
      </c>
      <c r="F860" s="26"/>
      <c r="G860" s="36" t="s">
        <v>42</v>
      </c>
      <c r="H860" s="28">
        <v>495.0</v>
      </c>
      <c r="I860" s="28">
        <v>12007.057260815553</v>
      </c>
      <c r="J860" s="29">
        <v>5943493.344103699</v>
      </c>
      <c r="K860" s="29">
        <v>12007.057260815553</v>
      </c>
      <c r="L860" s="30">
        <v>26014.23000000001</v>
      </c>
      <c r="M860" s="29">
        <v>3.123543492060259E8</v>
      </c>
      <c r="N860" s="31" t="s">
        <v>972</v>
      </c>
      <c r="O860" s="32"/>
      <c r="P860" s="33" t="str">
        <f t="array" ref="P860">IFERROR(
HYPERLINK(
"https://drive.google.com/file/d/"&amp;
XLOOKUP(O860,'Hoa-Don'!A:A,'Hoa-Don'!D:D)
&amp;"/view",
"🔎"
),
""
)</f>
        <v/>
      </c>
    </row>
    <row r="861" ht="22.5" customHeight="1">
      <c r="A861" s="21">
        <v>860.0</v>
      </c>
      <c r="B861" s="22">
        <v>44170.0</v>
      </c>
      <c r="C861" s="23">
        <v>444.0</v>
      </c>
      <c r="D861" s="24" t="s">
        <v>845</v>
      </c>
      <c r="E861" s="35" t="s">
        <v>18</v>
      </c>
      <c r="F861" s="26"/>
      <c r="G861" s="36" t="s">
        <v>42</v>
      </c>
      <c r="H861" s="28">
        <v>8.32</v>
      </c>
      <c r="I861" s="28">
        <v>12007.057260815553</v>
      </c>
      <c r="J861" s="29">
        <v>99898.7164099854</v>
      </c>
      <c r="K861" s="29">
        <v>12007.057260815553</v>
      </c>
      <c r="L861" s="30">
        <v>26005.91000000001</v>
      </c>
      <c r="M861" s="29">
        <v>3.122544504896159E8</v>
      </c>
      <c r="N861" s="31" t="s">
        <v>973</v>
      </c>
      <c r="O861" s="32"/>
      <c r="P861" s="33" t="str">
        <f t="array" ref="P861">IFERROR(
HYPERLINK(
"https://drive.google.com/file/d/"&amp;
XLOOKUP(O861,'Hoa-Don'!A:A,'Hoa-Don'!D:D)
&amp;"/view",
"🔎"
),
""
)</f>
        <v/>
      </c>
    </row>
    <row r="862" ht="22.5" customHeight="1">
      <c r="A862" s="21">
        <v>861.0</v>
      </c>
      <c r="B862" s="22">
        <v>44170.0</v>
      </c>
      <c r="C862" s="23">
        <v>444.0</v>
      </c>
      <c r="D862" s="24" t="s">
        <v>845</v>
      </c>
      <c r="E862" s="35" t="s">
        <v>18</v>
      </c>
      <c r="F862" s="26"/>
      <c r="G862" s="36" t="s">
        <v>42</v>
      </c>
      <c r="H862" s="28">
        <v>39.09</v>
      </c>
      <c r="I862" s="28">
        <v>12007.057260815553</v>
      </c>
      <c r="J862" s="29">
        <v>469355.86832527997</v>
      </c>
      <c r="K862" s="29">
        <v>12007.057260815553</v>
      </c>
      <c r="L862" s="30">
        <v>25966.82000000001</v>
      </c>
      <c r="M862" s="29">
        <v>3.117850946212906E8</v>
      </c>
      <c r="N862" s="31" t="s">
        <v>974</v>
      </c>
      <c r="O862" s="32"/>
      <c r="P862" s="33" t="str">
        <f t="array" ref="P862">IFERROR(
HYPERLINK(
"https://drive.google.com/file/d/"&amp;
XLOOKUP(O862,'Hoa-Don'!A:A,'Hoa-Don'!D:D)
&amp;"/view",
"🔎"
),
""
)</f>
        <v/>
      </c>
    </row>
    <row r="863" ht="22.5" customHeight="1">
      <c r="A863" s="21">
        <v>862.0</v>
      </c>
      <c r="B863" s="22">
        <v>44171.0</v>
      </c>
      <c r="C863" s="23">
        <v>445.0</v>
      </c>
      <c r="D863" s="24" t="s">
        <v>845</v>
      </c>
      <c r="E863" s="35" t="s">
        <v>18</v>
      </c>
      <c r="F863" s="26"/>
      <c r="G863" s="36" t="s">
        <v>42</v>
      </c>
      <c r="H863" s="28">
        <v>649.0</v>
      </c>
      <c r="I863" s="28">
        <v>12007.057260815553</v>
      </c>
      <c r="J863" s="29">
        <v>7792580.162269293</v>
      </c>
      <c r="K863" s="29">
        <v>12007.057260815553</v>
      </c>
      <c r="L863" s="30">
        <v>25317.82000000001</v>
      </c>
      <c r="M863" s="29">
        <v>3.0399251445902133E8</v>
      </c>
      <c r="N863" s="31" t="s">
        <v>975</v>
      </c>
      <c r="O863" s="32"/>
      <c r="P863" s="33" t="str">
        <f t="array" ref="P863">IFERROR(
HYPERLINK(
"https://drive.google.com/file/d/"&amp;
XLOOKUP(O863,'Hoa-Don'!A:A,'Hoa-Don'!D:D)
&amp;"/view",
"🔎"
),
""
)</f>
        <v/>
      </c>
    </row>
    <row r="864" ht="22.5" customHeight="1">
      <c r="A864" s="21">
        <v>863.0</v>
      </c>
      <c r="B864" s="22">
        <v>44171.0</v>
      </c>
      <c r="C864" s="23">
        <v>445.0</v>
      </c>
      <c r="D864" s="24" t="s">
        <v>845</v>
      </c>
      <c r="E864" s="35" t="s">
        <v>18</v>
      </c>
      <c r="F864" s="26"/>
      <c r="G864" s="36" t="s">
        <v>42</v>
      </c>
      <c r="H864" s="28">
        <v>36.23</v>
      </c>
      <c r="I864" s="28">
        <v>12007.057260815553</v>
      </c>
      <c r="J864" s="29">
        <v>435015.68455934746</v>
      </c>
      <c r="K864" s="29">
        <v>12007.057260815553</v>
      </c>
      <c r="L864" s="30">
        <v>25281.59000000001</v>
      </c>
      <c r="M864" s="29">
        <v>3.03557498774462E8</v>
      </c>
      <c r="N864" s="31" t="s">
        <v>976</v>
      </c>
      <c r="O864" s="32"/>
      <c r="P864" s="33" t="str">
        <f t="array" ref="P864">IFERROR(
HYPERLINK(
"https://drive.google.com/file/d/"&amp;
XLOOKUP(O864,'Hoa-Don'!A:A,'Hoa-Don'!D:D)
&amp;"/view",
"🔎"
),
""
)</f>
        <v/>
      </c>
    </row>
    <row r="865" ht="22.5" customHeight="1">
      <c r="A865" s="21">
        <v>864.0</v>
      </c>
      <c r="B865" s="22">
        <v>44171.0</v>
      </c>
      <c r="C865" s="23">
        <v>445.0</v>
      </c>
      <c r="D865" s="24" t="s">
        <v>845</v>
      </c>
      <c r="E865" s="35" t="s">
        <v>18</v>
      </c>
      <c r="F865" s="26"/>
      <c r="G865" s="36" t="s">
        <v>42</v>
      </c>
      <c r="H865" s="28">
        <v>37.37</v>
      </c>
      <c r="I865" s="28">
        <v>12007.057260815553</v>
      </c>
      <c r="J865" s="29">
        <v>448703.72983667714</v>
      </c>
      <c r="K865" s="29">
        <v>12007.057260815553</v>
      </c>
      <c r="L865" s="30">
        <v>25244.220000000012</v>
      </c>
      <c r="M865" s="29">
        <v>3.0310879504462534E8</v>
      </c>
      <c r="N865" s="31" t="s">
        <v>977</v>
      </c>
      <c r="O865" s="32"/>
      <c r="P865" s="33" t="str">
        <f t="array" ref="P865">IFERROR(
HYPERLINK(
"https://drive.google.com/file/d/"&amp;
XLOOKUP(O865,'Hoa-Don'!A:A,'Hoa-Don'!D:D)
&amp;"/view",
"🔎"
),
""
)</f>
        <v/>
      </c>
    </row>
    <row r="866" ht="22.5" customHeight="1">
      <c r="A866" s="21">
        <v>865.0</v>
      </c>
      <c r="B866" s="22">
        <v>44172.0</v>
      </c>
      <c r="C866" s="23">
        <v>446.0</v>
      </c>
      <c r="D866" s="24" t="s">
        <v>978</v>
      </c>
      <c r="E866" s="35" t="s">
        <v>18</v>
      </c>
      <c r="F866" s="26"/>
      <c r="G866" s="36" t="s">
        <v>42</v>
      </c>
      <c r="H866" s="28">
        <v>1200.0</v>
      </c>
      <c r="I866" s="28">
        <v>12007.057260815553</v>
      </c>
      <c r="J866" s="29">
        <v>1.4408468712978663E7</v>
      </c>
      <c r="K866" s="29">
        <v>12007.057260815553</v>
      </c>
      <c r="L866" s="30">
        <v>24044.220000000012</v>
      </c>
      <c r="M866" s="29">
        <v>2.887003263316467E8</v>
      </c>
      <c r="N866" s="31" t="s">
        <v>979</v>
      </c>
      <c r="O866" s="32"/>
      <c r="P866" s="33" t="str">
        <f t="array" ref="P866">IFERROR(
HYPERLINK(
"https://drive.google.com/file/d/"&amp;
XLOOKUP(O866,'Hoa-Don'!A:A,'Hoa-Don'!D:D)
&amp;"/view",
"🔎"
),
""
)</f>
        <v/>
      </c>
    </row>
    <row r="867" ht="22.5" customHeight="1">
      <c r="A867" s="21">
        <v>866.0</v>
      </c>
      <c r="B867" s="22">
        <v>44195.0</v>
      </c>
      <c r="C867" s="23">
        <v>447.0</v>
      </c>
      <c r="D867" s="24" t="s">
        <v>130</v>
      </c>
      <c r="E867" s="25" t="s">
        <v>11</v>
      </c>
      <c r="F867" s="26"/>
      <c r="G867" s="36" t="s">
        <v>42</v>
      </c>
      <c r="H867" s="28">
        <v>150.0</v>
      </c>
      <c r="I867" s="28">
        <v>13283.87011514541</v>
      </c>
      <c r="J867" s="29">
        <v>1992580.5172718114</v>
      </c>
      <c r="K867" s="29">
        <v>13283.87011514541</v>
      </c>
      <c r="L867" s="30">
        <v>31585.41999999999</v>
      </c>
      <c r="M867" s="29">
        <v>4.19576616812316E8</v>
      </c>
      <c r="N867" s="31" t="s">
        <v>980</v>
      </c>
      <c r="O867" s="32"/>
      <c r="P867" s="33" t="str">
        <f t="array" ref="P867">IFERROR(
HYPERLINK(
"https://drive.google.com/file/d/"&amp;
XLOOKUP(O867,'Hoa-Don'!A:A,'Hoa-Don'!D:D)
&amp;"/view",
"🔎"
),
""
)</f>
        <v/>
      </c>
    </row>
    <row r="868" ht="22.5" customHeight="1">
      <c r="A868" s="21">
        <v>867.0</v>
      </c>
      <c r="B868" s="22">
        <v>44200.0</v>
      </c>
      <c r="C868" s="23">
        <v>448.0</v>
      </c>
      <c r="D868" s="24" t="s">
        <v>845</v>
      </c>
      <c r="E868" s="35" t="s">
        <v>18</v>
      </c>
      <c r="F868" s="26"/>
      <c r="G868" s="36" t="s">
        <v>42</v>
      </c>
      <c r="H868" s="28">
        <v>29.84</v>
      </c>
      <c r="I868" s="28">
        <v>12007.057260815553</v>
      </c>
      <c r="J868" s="29">
        <v>358290.58866273606</v>
      </c>
      <c r="K868" s="29">
        <v>12007.057260815553</v>
      </c>
      <c r="L868" s="30">
        <v>24014.380000000012</v>
      </c>
      <c r="M868" s="29">
        <v>2.8834203574298394E8</v>
      </c>
      <c r="N868" s="31" t="s">
        <v>981</v>
      </c>
      <c r="O868" s="32"/>
      <c r="P868" s="33" t="str">
        <f t="array" ref="P868">IFERROR(
HYPERLINK(
"https://drive.google.com/file/d/"&amp;
XLOOKUP(O868,'Hoa-Don'!A:A,'Hoa-Don'!D:D)
&amp;"/view",
"🔎"
),
""
)</f>
        <v/>
      </c>
    </row>
    <row r="869" ht="22.5" customHeight="1">
      <c r="A869" s="21">
        <v>868.0</v>
      </c>
      <c r="B869" s="22">
        <v>44200.0</v>
      </c>
      <c r="C869" s="23">
        <v>448.0</v>
      </c>
      <c r="D869" s="24" t="s">
        <v>845</v>
      </c>
      <c r="E869" s="35" t="s">
        <v>18</v>
      </c>
      <c r="F869" s="26"/>
      <c r="G869" s="36" t="s">
        <v>42</v>
      </c>
      <c r="H869" s="28">
        <v>65.94</v>
      </c>
      <c r="I869" s="28">
        <v>12007.057260815553</v>
      </c>
      <c r="J869" s="29">
        <v>791745.3557781775</v>
      </c>
      <c r="K869" s="29">
        <v>12007.057260815553</v>
      </c>
      <c r="L869" s="30">
        <v>23948.440000000013</v>
      </c>
      <c r="M869" s="29">
        <v>2.875502903872058E8</v>
      </c>
      <c r="N869" s="31" t="s">
        <v>982</v>
      </c>
      <c r="O869" s="32"/>
      <c r="P869" s="33" t="str">
        <f t="array" ref="P869">IFERROR(
HYPERLINK(
"https://drive.google.com/file/d/"&amp;
XLOOKUP(O869,'Hoa-Don'!A:A,'Hoa-Don'!D:D)
&amp;"/view",
"🔎"
),
""
)</f>
        <v/>
      </c>
    </row>
    <row r="870" ht="22.5" customHeight="1">
      <c r="A870" s="21">
        <v>869.0</v>
      </c>
      <c r="B870" s="22">
        <v>44201.0</v>
      </c>
      <c r="C870" s="23">
        <v>449.0</v>
      </c>
      <c r="D870" s="24" t="s">
        <v>845</v>
      </c>
      <c r="E870" s="35" t="s">
        <v>18</v>
      </c>
      <c r="F870" s="26"/>
      <c r="G870" s="36" t="s">
        <v>42</v>
      </c>
      <c r="H870" s="28">
        <v>1038.0</v>
      </c>
      <c r="I870" s="28">
        <v>12007.057260815553</v>
      </c>
      <c r="J870" s="29">
        <v>1.2463325436726544E7</v>
      </c>
      <c r="K870" s="29">
        <v>12007.057260815553</v>
      </c>
      <c r="L870" s="30">
        <v>22910.440000000013</v>
      </c>
      <c r="M870" s="29">
        <v>2.750869649504792E8</v>
      </c>
      <c r="N870" s="31" t="s">
        <v>983</v>
      </c>
      <c r="O870" s="32"/>
      <c r="P870" s="33" t="str">
        <f t="array" ref="P870">IFERROR(
HYPERLINK(
"https://drive.google.com/file/d/"&amp;
XLOOKUP(O870,'Hoa-Don'!A:A,'Hoa-Don'!D:D)
&amp;"/view",
"🔎"
),
""
)</f>
        <v/>
      </c>
    </row>
    <row r="871" ht="22.5" customHeight="1">
      <c r="A871" s="21">
        <v>870.0</v>
      </c>
      <c r="B871" s="22">
        <v>44202.0</v>
      </c>
      <c r="C871" s="23">
        <v>450.0</v>
      </c>
      <c r="D871" s="24" t="s">
        <v>984</v>
      </c>
      <c r="E871" s="35" t="s">
        <v>18</v>
      </c>
      <c r="F871" s="26"/>
      <c r="G871" s="36" t="s">
        <v>42</v>
      </c>
      <c r="H871" s="28">
        <v>303.0</v>
      </c>
      <c r="I871" s="28">
        <v>12007.057260815553</v>
      </c>
      <c r="J871" s="29">
        <v>3638138.3500271123</v>
      </c>
      <c r="K871" s="29">
        <v>12007.057260815553</v>
      </c>
      <c r="L871" s="30">
        <v>22607.440000000013</v>
      </c>
      <c r="M871" s="29">
        <v>2.714488266004521E8</v>
      </c>
      <c r="N871" s="31" t="s">
        <v>985</v>
      </c>
      <c r="O871" s="32"/>
      <c r="P871" s="33" t="str">
        <f t="array" ref="P871">IFERROR(
HYPERLINK(
"https://drive.google.com/file/d/"&amp;
XLOOKUP(O871,'Hoa-Don'!A:A,'Hoa-Don'!D:D)
&amp;"/view",
"🔎"
),
""
)</f>
        <v/>
      </c>
    </row>
    <row r="872" ht="22.5" customHeight="1">
      <c r="A872" s="21">
        <v>871.0</v>
      </c>
      <c r="B872" s="22">
        <v>44216.0</v>
      </c>
      <c r="C872" s="23">
        <v>451.0</v>
      </c>
      <c r="D872" s="24" t="s">
        <v>877</v>
      </c>
      <c r="E872" s="35" t="s">
        <v>18</v>
      </c>
      <c r="F872" s="26"/>
      <c r="G872" s="36" t="s">
        <v>42</v>
      </c>
      <c r="H872" s="28">
        <v>168.0</v>
      </c>
      <c r="I872" s="28">
        <v>12007.057260815553</v>
      </c>
      <c r="J872" s="29">
        <v>2017185.619817013</v>
      </c>
      <c r="K872" s="29">
        <v>12007.057260815553</v>
      </c>
      <c r="L872" s="30">
        <v>22439.440000000013</v>
      </c>
      <c r="M872" s="29">
        <v>2.694316409806351E8</v>
      </c>
      <c r="N872" s="31" t="s">
        <v>986</v>
      </c>
      <c r="O872" s="32"/>
      <c r="P872" s="33" t="str">
        <f t="array" ref="P872">IFERROR(
HYPERLINK(
"https://drive.google.com/file/d/"&amp;
XLOOKUP(O872,'Hoa-Don'!A:A,'Hoa-Don'!D:D)
&amp;"/view",
"🔎"
),
""
)</f>
        <v/>
      </c>
    </row>
    <row r="873" ht="22.5" customHeight="1">
      <c r="A873" s="21">
        <v>872.0</v>
      </c>
      <c r="B873" s="22">
        <v>44227.0</v>
      </c>
      <c r="C873" s="23">
        <v>452.0</v>
      </c>
      <c r="D873" s="24" t="s">
        <v>130</v>
      </c>
      <c r="E873" s="25" t="s">
        <v>11</v>
      </c>
      <c r="F873" s="26"/>
      <c r="G873" s="36" t="s">
        <v>42</v>
      </c>
      <c r="H873" s="28">
        <v>158.0</v>
      </c>
      <c r="I873" s="28">
        <v>13283.87011514541</v>
      </c>
      <c r="J873" s="29">
        <v>2098851.478192975</v>
      </c>
      <c r="K873" s="29">
        <v>13283.87011514541</v>
      </c>
      <c r="L873" s="30">
        <v>31427.41999999999</v>
      </c>
      <c r="M873" s="29">
        <v>4.17477765334123E8</v>
      </c>
      <c r="N873" s="31" t="s">
        <v>987</v>
      </c>
      <c r="O873" s="32"/>
      <c r="P873" s="33" t="str">
        <f t="array" ref="P873">IFERROR(
HYPERLINK(
"https://drive.google.com/file/d/"&amp;
XLOOKUP(O873,'Hoa-Don'!A:A,'Hoa-Don'!D:D)
&amp;"/view",
"🔎"
),
""
)</f>
        <v/>
      </c>
    </row>
    <row r="874" ht="22.5" customHeight="1">
      <c r="A874" s="21">
        <v>873.0</v>
      </c>
      <c r="B874" s="22">
        <v>44255.0</v>
      </c>
      <c r="C874" s="23">
        <v>453.0</v>
      </c>
      <c r="D874" s="24" t="s">
        <v>130</v>
      </c>
      <c r="E874" s="35" t="s">
        <v>18</v>
      </c>
      <c r="F874" s="26"/>
      <c r="G874" s="36" t="s">
        <v>42</v>
      </c>
      <c r="H874" s="28">
        <v>78.0</v>
      </c>
      <c r="I874" s="28">
        <v>12007.057260815553</v>
      </c>
      <c r="J874" s="29">
        <v>936550.4663436131</v>
      </c>
      <c r="K874" s="29">
        <v>12007.057260815553</v>
      </c>
      <c r="L874" s="30">
        <v>22361.440000000013</v>
      </c>
      <c r="M874" s="29">
        <v>2.6849509051429147E8</v>
      </c>
      <c r="N874" s="31" t="s">
        <v>988</v>
      </c>
      <c r="O874" s="32"/>
      <c r="P874" s="33" t="str">
        <f t="array" ref="P874">IFERROR(
HYPERLINK(
"https://drive.google.com/file/d/"&amp;
XLOOKUP(O874,'Hoa-Don'!A:A,'Hoa-Don'!D:D)
&amp;"/view",
"🔎"
),
""
)</f>
        <v/>
      </c>
    </row>
    <row r="875" ht="22.5" customHeight="1">
      <c r="A875" s="21">
        <v>874.0</v>
      </c>
      <c r="B875" s="22">
        <v>44286.0</v>
      </c>
      <c r="C875" s="23">
        <v>454.0</v>
      </c>
      <c r="D875" s="24" t="s">
        <v>130</v>
      </c>
      <c r="E875" s="25" t="s">
        <v>11</v>
      </c>
      <c r="F875" s="26"/>
      <c r="G875" s="36" t="s">
        <v>42</v>
      </c>
      <c r="H875" s="28">
        <v>100.0</v>
      </c>
      <c r="I875" s="28">
        <v>13283.87011514541</v>
      </c>
      <c r="J875" s="29">
        <v>1328387.011514541</v>
      </c>
      <c r="K875" s="29">
        <v>13283.87011514541</v>
      </c>
      <c r="L875" s="30">
        <v>31327.41999999999</v>
      </c>
      <c r="M875" s="29">
        <v>4.161493783226085E8</v>
      </c>
      <c r="N875" s="31" t="s">
        <v>989</v>
      </c>
      <c r="O875" s="32"/>
      <c r="P875" s="33" t="str">
        <f t="array" ref="P875">IFERROR(
HYPERLINK(
"https://drive.google.com/file/d/"&amp;
XLOOKUP(O875,'Hoa-Don'!A:A,'Hoa-Don'!D:D)
&amp;"/view",
"🔎"
),
""
)</f>
        <v/>
      </c>
    </row>
    <row r="876" ht="22.5" customHeight="1">
      <c r="A876" s="21">
        <v>875.0</v>
      </c>
      <c r="B876" s="22">
        <v>44292.0</v>
      </c>
      <c r="C876" s="23">
        <v>735.0</v>
      </c>
      <c r="D876" s="24" t="s">
        <v>821</v>
      </c>
      <c r="E876" s="25" t="s">
        <v>11</v>
      </c>
      <c r="F876" s="26"/>
      <c r="G876" s="27" t="s">
        <v>38</v>
      </c>
      <c r="H876" s="28">
        <v>1908.0</v>
      </c>
      <c r="I876" s="28">
        <v>17454.55</v>
      </c>
      <c r="J876" s="29">
        <v>3.33032814E7</v>
      </c>
      <c r="K876" s="29">
        <v>13523.303142328534</v>
      </c>
      <c r="L876" s="30">
        <v>33235.41999999999</v>
      </c>
      <c r="M876" s="29">
        <v>4.4945265972260845E8</v>
      </c>
      <c r="N876" s="31" t="s">
        <v>990</v>
      </c>
      <c r="O876" s="32"/>
      <c r="P876" s="33" t="str">
        <f t="array" ref="P876">IFERROR(
HYPERLINK(
"https://drive.google.com/file/d/"&amp;
XLOOKUP(O876,'Hoa-Don'!A:A,'Hoa-Don'!D:D)
&amp;"/view",
"🔎"
),
""
)</f>
        <v/>
      </c>
    </row>
    <row r="877" ht="22.5" customHeight="1">
      <c r="A877" s="21">
        <v>876.0</v>
      </c>
      <c r="B877" s="22">
        <v>44294.0</v>
      </c>
      <c r="C877" s="23">
        <v>455.0</v>
      </c>
      <c r="D877" s="24" t="s">
        <v>864</v>
      </c>
      <c r="E877" s="25" t="s">
        <v>11</v>
      </c>
      <c r="F877" s="26"/>
      <c r="G877" s="36" t="s">
        <v>42</v>
      </c>
      <c r="H877" s="28">
        <v>1136.0</v>
      </c>
      <c r="I877" s="28">
        <v>13523.303142328534</v>
      </c>
      <c r="J877" s="29">
        <v>1.5362472369685214E7</v>
      </c>
      <c r="K877" s="29">
        <v>13523.303142328534</v>
      </c>
      <c r="L877" s="30">
        <v>32099.41999999999</v>
      </c>
      <c r="M877" s="29">
        <v>4.340901873529233E8</v>
      </c>
      <c r="N877" s="31" t="s">
        <v>991</v>
      </c>
      <c r="O877" s="32"/>
      <c r="P877" s="33" t="str">
        <f t="array" ref="P877">IFERROR(
HYPERLINK(
"https://drive.google.com/file/d/"&amp;
XLOOKUP(O877,'Hoa-Don'!A:A,'Hoa-Don'!D:D)
&amp;"/view",
"🔎"
),
""
)</f>
        <v/>
      </c>
    </row>
    <row r="878" ht="22.5" customHeight="1">
      <c r="A878" s="21">
        <v>877.0</v>
      </c>
      <c r="B878" s="22">
        <v>44295.0</v>
      </c>
      <c r="C878" s="23">
        <v>456.0</v>
      </c>
      <c r="D878" s="24" t="s">
        <v>130</v>
      </c>
      <c r="E878" s="25" t="s">
        <v>11</v>
      </c>
      <c r="F878" s="26"/>
      <c r="G878" s="36" t="s">
        <v>42</v>
      </c>
      <c r="H878" s="28">
        <v>100.0</v>
      </c>
      <c r="I878" s="28">
        <v>13523.303142328534</v>
      </c>
      <c r="J878" s="29">
        <v>1352330.3142328535</v>
      </c>
      <c r="K878" s="29">
        <v>13523.303142328534</v>
      </c>
      <c r="L878" s="30">
        <v>31999.41999999999</v>
      </c>
      <c r="M878" s="29">
        <v>4.327378570386904E8</v>
      </c>
      <c r="N878" s="31" t="s">
        <v>992</v>
      </c>
      <c r="O878" s="32"/>
      <c r="P878" s="33" t="str">
        <f t="array" ref="P878">IFERROR(
HYPERLINK(
"https://drive.google.com/file/d/"&amp;
XLOOKUP(O878,'Hoa-Don'!A:A,'Hoa-Don'!D:D)
&amp;"/view",
"🔎"
),
""
)</f>
        <v/>
      </c>
    </row>
    <row r="879" ht="22.5" customHeight="1">
      <c r="A879" s="21">
        <v>878.0</v>
      </c>
      <c r="B879" s="22">
        <v>44296.0</v>
      </c>
      <c r="C879" s="23">
        <v>457.0</v>
      </c>
      <c r="D879" s="24" t="s">
        <v>935</v>
      </c>
      <c r="E879" s="35" t="s">
        <v>18</v>
      </c>
      <c r="F879" s="26"/>
      <c r="G879" s="36" t="s">
        <v>42</v>
      </c>
      <c r="H879" s="28">
        <v>228.34</v>
      </c>
      <c r="I879" s="28">
        <v>12007.057260815553</v>
      </c>
      <c r="J879" s="29">
        <v>2741691.454934623</v>
      </c>
      <c r="K879" s="29">
        <v>12007.057260815553</v>
      </c>
      <c r="L879" s="30">
        <v>22133.100000000013</v>
      </c>
      <c r="M879" s="29">
        <v>2.6575339905935687E8</v>
      </c>
      <c r="N879" s="31" t="s">
        <v>993</v>
      </c>
      <c r="O879" s="32"/>
      <c r="P879" s="33" t="str">
        <f t="array" ref="P879">IFERROR(
HYPERLINK(
"https://drive.google.com/file/d/"&amp;
XLOOKUP(O879,'Hoa-Don'!A:A,'Hoa-Don'!D:D)
&amp;"/view",
"🔎"
),
""
)</f>
        <v/>
      </c>
    </row>
    <row r="880" ht="22.5" customHeight="1">
      <c r="A880" s="21">
        <v>879.0</v>
      </c>
      <c r="B880" s="22">
        <v>44296.0</v>
      </c>
      <c r="C880" s="23">
        <v>457.0</v>
      </c>
      <c r="D880" s="24" t="s">
        <v>935</v>
      </c>
      <c r="E880" s="35" t="s">
        <v>18</v>
      </c>
      <c r="F880" s="26"/>
      <c r="G880" s="36" t="s">
        <v>42</v>
      </c>
      <c r="H880" s="28">
        <v>228.34</v>
      </c>
      <c r="I880" s="28">
        <v>12007.057260815553</v>
      </c>
      <c r="J880" s="29">
        <v>2741691.454934623</v>
      </c>
      <c r="K880" s="29">
        <v>12007.057260815553</v>
      </c>
      <c r="L880" s="30">
        <v>21904.760000000013</v>
      </c>
      <c r="M880" s="29">
        <v>2.6301170760442224E8</v>
      </c>
      <c r="N880" s="31" t="s">
        <v>993</v>
      </c>
      <c r="O880" s="32"/>
      <c r="P880" s="33" t="str">
        <f t="array" ref="P880">IFERROR(
HYPERLINK(
"https://drive.google.com/file/d/"&amp;
XLOOKUP(O880,'Hoa-Don'!A:A,'Hoa-Don'!D:D)
&amp;"/view",
"🔎"
),
""
)</f>
        <v/>
      </c>
    </row>
    <row r="881" ht="22.5" customHeight="1">
      <c r="A881" s="21">
        <v>880.0</v>
      </c>
      <c r="B881" s="22">
        <v>44296.0</v>
      </c>
      <c r="C881" s="23">
        <v>457.0</v>
      </c>
      <c r="D881" s="24" t="s">
        <v>935</v>
      </c>
      <c r="E881" s="35" t="s">
        <v>18</v>
      </c>
      <c r="F881" s="26"/>
      <c r="G881" s="36" t="s">
        <v>42</v>
      </c>
      <c r="H881" s="28">
        <v>38.06</v>
      </c>
      <c r="I881" s="28">
        <v>12007.057260815553</v>
      </c>
      <c r="J881" s="29">
        <v>456988.59934663994</v>
      </c>
      <c r="K881" s="29">
        <v>12007.057260815553</v>
      </c>
      <c r="L881" s="30">
        <v>21866.70000000001</v>
      </c>
      <c r="M881" s="29">
        <v>2.6255471900507557E8</v>
      </c>
      <c r="N881" s="31" t="s">
        <v>994</v>
      </c>
      <c r="O881" s="32"/>
      <c r="P881" s="33" t="str">
        <f t="array" ref="P881">IFERROR(
HYPERLINK(
"https://drive.google.com/file/d/"&amp;
XLOOKUP(O881,'Hoa-Don'!A:A,'Hoa-Don'!D:D)
&amp;"/view",
"🔎"
),
""
)</f>
        <v/>
      </c>
    </row>
    <row r="882" ht="22.5" customHeight="1">
      <c r="A882" s="21">
        <v>881.0</v>
      </c>
      <c r="B882" s="22">
        <v>44296.0</v>
      </c>
      <c r="C882" s="23">
        <v>457.0</v>
      </c>
      <c r="D882" s="24" t="s">
        <v>935</v>
      </c>
      <c r="E882" s="35" t="s">
        <v>18</v>
      </c>
      <c r="F882" s="26"/>
      <c r="G882" s="36" t="s">
        <v>42</v>
      </c>
      <c r="H882" s="28">
        <v>38.06</v>
      </c>
      <c r="I882" s="28">
        <v>12007.057260815553</v>
      </c>
      <c r="J882" s="29">
        <v>456988.59934663994</v>
      </c>
      <c r="K882" s="29">
        <v>12007.057260815553</v>
      </c>
      <c r="L882" s="30">
        <v>21828.64000000001</v>
      </c>
      <c r="M882" s="29">
        <v>2.6209773040572894E8</v>
      </c>
      <c r="N882" s="31" t="s">
        <v>994</v>
      </c>
      <c r="O882" s="32"/>
      <c r="P882" s="33" t="str">
        <f t="array" ref="P882">IFERROR(
HYPERLINK(
"https://drive.google.com/file/d/"&amp;
XLOOKUP(O882,'Hoa-Don'!A:A,'Hoa-Don'!D:D)
&amp;"/view",
"🔎"
),
""
)</f>
        <v/>
      </c>
    </row>
    <row r="883" ht="22.5" customHeight="1">
      <c r="A883" s="21">
        <v>882.0</v>
      </c>
      <c r="B883" s="22">
        <v>44296.0</v>
      </c>
      <c r="C883" s="23">
        <v>457.0</v>
      </c>
      <c r="D883" s="24" t="s">
        <v>935</v>
      </c>
      <c r="E883" s="35" t="s">
        <v>18</v>
      </c>
      <c r="F883" s="26"/>
      <c r="G883" s="36" t="s">
        <v>42</v>
      </c>
      <c r="H883" s="28">
        <v>25.12</v>
      </c>
      <c r="I883" s="28">
        <v>12007.057260815553</v>
      </c>
      <c r="J883" s="29">
        <v>301617.2783916867</v>
      </c>
      <c r="K883" s="29">
        <v>12007.057260815553</v>
      </c>
      <c r="L883" s="30">
        <v>21803.52000000001</v>
      </c>
      <c r="M883" s="29">
        <v>2.6179611312733725E8</v>
      </c>
      <c r="N883" s="31" t="s">
        <v>995</v>
      </c>
      <c r="O883" s="32"/>
      <c r="P883" s="33" t="str">
        <f t="array" ref="P883">IFERROR(
HYPERLINK(
"https://drive.google.com/file/d/"&amp;
XLOOKUP(O883,'Hoa-Don'!A:A,'Hoa-Don'!D:D)
&amp;"/view",
"🔎"
),
""
)</f>
        <v/>
      </c>
    </row>
    <row r="884" ht="22.5" customHeight="1">
      <c r="A884" s="21">
        <v>883.0</v>
      </c>
      <c r="B884" s="22">
        <v>44296.0</v>
      </c>
      <c r="C884" s="23">
        <v>457.0</v>
      </c>
      <c r="D884" s="24" t="s">
        <v>935</v>
      </c>
      <c r="E884" s="35" t="s">
        <v>18</v>
      </c>
      <c r="F884" s="26"/>
      <c r="G884" s="36" t="s">
        <v>42</v>
      </c>
      <c r="H884" s="28">
        <v>50.23</v>
      </c>
      <c r="I884" s="28">
        <v>12007.057260815553</v>
      </c>
      <c r="J884" s="29">
        <v>603114.4862107652</v>
      </c>
      <c r="K884" s="29">
        <v>12007.057260815553</v>
      </c>
      <c r="L884" s="30">
        <v>21753.29000000001</v>
      </c>
      <c r="M884" s="29">
        <v>2.6119299864112648E8</v>
      </c>
      <c r="N884" s="31" t="s">
        <v>996</v>
      </c>
      <c r="O884" s="32"/>
      <c r="P884" s="33" t="str">
        <f t="array" ref="P884">IFERROR(
HYPERLINK(
"https://drive.google.com/file/d/"&amp;
XLOOKUP(O884,'Hoa-Don'!A:A,'Hoa-Don'!D:D)
&amp;"/view",
"🔎"
),
""
)</f>
        <v/>
      </c>
    </row>
    <row r="885" ht="22.5" customHeight="1">
      <c r="A885" s="21">
        <v>884.0</v>
      </c>
      <c r="B885" s="22">
        <v>44316.0</v>
      </c>
      <c r="C885" s="23">
        <v>458.0</v>
      </c>
      <c r="D885" s="24" t="s">
        <v>130</v>
      </c>
      <c r="E885" s="25" t="s">
        <v>11</v>
      </c>
      <c r="F885" s="26"/>
      <c r="G885" s="36" t="s">
        <v>42</v>
      </c>
      <c r="H885" s="28">
        <v>120.0</v>
      </c>
      <c r="I885" s="28">
        <v>13523.303142328534</v>
      </c>
      <c r="J885" s="29">
        <v>1622796.377079424</v>
      </c>
      <c r="K885" s="29">
        <v>13523.303142328534</v>
      </c>
      <c r="L885" s="30">
        <v>31879.41999999999</v>
      </c>
      <c r="M885" s="29">
        <v>4.3111506066161096E8</v>
      </c>
      <c r="N885" s="31" t="s">
        <v>997</v>
      </c>
      <c r="O885" s="32"/>
      <c r="P885" s="33" t="str">
        <f t="array" ref="P885">IFERROR(
HYPERLINK(
"https://drive.google.com/file/d/"&amp;
XLOOKUP(O885,'Hoa-Don'!A:A,'Hoa-Don'!D:D)
&amp;"/view",
"🔎"
),
""
)</f>
        <v/>
      </c>
    </row>
    <row r="886" ht="22.5" customHeight="1">
      <c r="A886" s="21">
        <v>885.0</v>
      </c>
      <c r="B886" s="22">
        <v>44317.0</v>
      </c>
      <c r="C886" s="23">
        <v>459.0</v>
      </c>
      <c r="D886" s="24" t="s">
        <v>130</v>
      </c>
      <c r="E886" s="25" t="s">
        <v>11</v>
      </c>
      <c r="F886" s="26"/>
      <c r="G886" s="36" t="s">
        <v>42</v>
      </c>
      <c r="H886" s="28">
        <v>112.0</v>
      </c>
      <c r="I886" s="28">
        <v>13523.303142328534</v>
      </c>
      <c r="J886" s="29">
        <v>1514609.9519407959</v>
      </c>
      <c r="K886" s="29">
        <v>13523.303142328534</v>
      </c>
      <c r="L886" s="30">
        <v>31767.41999999999</v>
      </c>
      <c r="M886" s="29">
        <v>4.296004507096702E8</v>
      </c>
      <c r="N886" s="31" t="s">
        <v>998</v>
      </c>
      <c r="O886" s="32"/>
      <c r="P886" s="33" t="str">
        <f t="array" ref="P886">IFERROR(
HYPERLINK(
"https://drive.google.com/file/d/"&amp;
XLOOKUP(O886,'Hoa-Don'!A:A,'Hoa-Don'!D:D)
&amp;"/view",
"🔎"
),
""
)</f>
        <v/>
      </c>
    </row>
    <row r="887" ht="22.5" customHeight="1">
      <c r="A887" s="21">
        <v>886.0</v>
      </c>
      <c r="B887" s="22">
        <v>44319.0</v>
      </c>
      <c r="C887" s="23">
        <v>460.0</v>
      </c>
      <c r="D887" s="24" t="s">
        <v>935</v>
      </c>
      <c r="E887" s="35" t="s">
        <v>18</v>
      </c>
      <c r="F887" s="26"/>
      <c r="G887" s="36" t="s">
        <v>42</v>
      </c>
      <c r="H887" s="28">
        <v>47.57</v>
      </c>
      <c r="I887" s="28">
        <v>12007.057260815553</v>
      </c>
      <c r="J887" s="29">
        <v>571175.7138969959</v>
      </c>
      <c r="K887" s="29">
        <v>12007.057260815553</v>
      </c>
      <c r="L887" s="30">
        <v>21705.720000000012</v>
      </c>
      <c r="M887" s="29">
        <v>2.606218229272295E8</v>
      </c>
      <c r="N887" s="31" t="s">
        <v>999</v>
      </c>
      <c r="O887" s="32"/>
      <c r="P887" s="33" t="str">
        <f t="array" ref="P887">IFERROR(
HYPERLINK(
"https://drive.google.com/file/d/"&amp;
XLOOKUP(O887,'Hoa-Don'!A:A,'Hoa-Don'!D:D)
&amp;"/view",
"🔎"
),
""
)</f>
        <v/>
      </c>
    </row>
    <row r="888" ht="22.5" customHeight="1">
      <c r="A888" s="21">
        <v>887.0</v>
      </c>
      <c r="B888" s="22">
        <v>44319.0</v>
      </c>
      <c r="C888" s="23">
        <v>460.0</v>
      </c>
      <c r="D888" s="24" t="s">
        <v>935</v>
      </c>
      <c r="E888" s="35" t="s">
        <v>18</v>
      </c>
      <c r="F888" s="26"/>
      <c r="G888" s="36" t="s">
        <v>42</v>
      </c>
      <c r="H888" s="28">
        <v>57.09</v>
      </c>
      <c r="I888" s="28">
        <v>12007.057260815553</v>
      </c>
      <c r="J888" s="29">
        <v>685482.89901996</v>
      </c>
      <c r="K888" s="29">
        <v>12007.057260815553</v>
      </c>
      <c r="L888" s="30">
        <v>21648.630000000012</v>
      </c>
      <c r="M888" s="29">
        <v>2.5993634002820954E8</v>
      </c>
      <c r="N888" s="31" t="s">
        <v>1000</v>
      </c>
      <c r="O888" s="32"/>
      <c r="P888" s="33" t="str">
        <f t="array" ref="P888">IFERROR(
HYPERLINK(
"https://drive.google.com/file/d/"&amp;
XLOOKUP(O888,'Hoa-Don'!A:A,'Hoa-Don'!D:D)
&amp;"/view",
"🔎"
),
""
)</f>
        <v/>
      </c>
    </row>
    <row r="889" ht="22.5" customHeight="1">
      <c r="A889" s="21">
        <v>888.0</v>
      </c>
      <c r="B889" s="22">
        <v>44319.0</v>
      </c>
      <c r="C889" s="23">
        <v>460.0</v>
      </c>
      <c r="D889" s="24" t="s">
        <v>935</v>
      </c>
      <c r="E889" s="35" t="s">
        <v>18</v>
      </c>
      <c r="F889" s="26"/>
      <c r="G889" s="36" t="s">
        <v>42</v>
      </c>
      <c r="H889" s="28">
        <v>8.09</v>
      </c>
      <c r="I889" s="28">
        <v>12007.057260815553</v>
      </c>
      <c r="J889" s="29">
        <v>97137.09323999782</v>
      </c>
      <c r="K889" s="29">
        <v>12007.057260815553</v>
      </c>
      <c r="L889" s="30">
        <v>21640.54000000001</v>
      </c>
      <c r="M889" s="29">
        <v>2.5983920293496954E8</v>
      </c>
      <c r="N889" s="31" t="s">
        <v>1001</v>
      </c>
      <c r="O889" s="32"/>
      <c r="P889" s="33" t="str">
        <f t="array" ref="P889">IFERROR(
HYPERLINK(
"https://drive.google.com/file/d/"&amp;
XLOOKUP(O889,'Hoa-Don'!A:A,'Hoa-Don'!D:D)
&amp;"/view",
"🔎"
),
""
)</f>
        <v/>
      </c>
    </row>
    <row r="890" ht="22.5" customHeight="1">
      <c r="A890" s="21">
        <v>889.0</v>
      </c>
      <c r="B890" s="22">
        <v>44319.0</v>
      </c>
      <c r="C890" s="23">
        <v>460.0</v>
      </c>
      <c r="D890" s="24" t="s">
        <v>935</v>
      </c>
      <c r="E890" s="35" t="s">
        <v>18</v>
      </c>
      <c r="F890" s="26"/>
      <c r="G890" s="36" t="s">
        <v>42</v>
      </c>
      <c r="H890" s="28">
        <v>6.18</v>
      </c>
      <c r="I890" s="28">
        <v>12007.057260815553</v>
      </c>
      <c r="J890" s="29">
        <v>74203.6138718401</v>
      </c>
      <c r="K890" s="29">
        <v>12007.057260815553</v>
      </c>
      <c r="L890" s="30">
        <v>21634.36000000001</v>
      </c>
      <c r="M890" s="29">
        <v>2.597649993210977E8</v>
      </c>
      <c r="N890" s="31" t="s">
        <v>1002</v>
      </c>
      <c r="O890" s="32"/>
      <c r="P890" s="33" t="str">
        <f t="array" ref="P890">IFERROR(
HYPERLINK(
"https://drive.google.com/file/d/"&amp;
XLOOKUP(O890,'Hoa-Don'!A:A,'Hoa-Don'!D:D)
&amp;"/view",
"🔎"
),
""
)</f>
        <v/>
      </c>
    </row>
    <row r="891" ht="22.5" customHeight="1">
      <c r="A891" s="21">
        <v>890.0</v>
      </c>
      <c r="B891" s="22">
        <v>44319.0</v>
      </c>
      <c r="C891" s="23">
        <v>460.0</v>
      </c>
      <c r="D891" s="24" t="s">
        <v>935</v>
      </c>
      <c r="E891" s="35" t="s">
        <v>18</v>
      </c>
      <c r="F891" s="26"/>
      <c r="G891" s="36" t="s">
        <v>42</v>
      </c>
      <c r="H891" s="28">
        <v>11.65</v>
      </c>
      <c r="I891" s="28">
        <v>12007.057260815553</v>
      </c>
      <c r="J891" s="29">
        <v>139882.2170885012</v>
      </c>
      <c r="K891" s="29">
        <v>12007.057260815553</v>
      </c>
      <c r="L891" s="30">
        <v>21622.71000000001</v>
      </c>
      <c r="M891" s="29">
        <v>2.5962511710400918E8</v>
      </c>
      <c r="N891" s="31" t="s">
        <v>1003</v>
      </c>
      <c r="O891" s="32"/>
      <c r="P891" s="33" t="str">
        <f t="array" ref="P891">IFERROR(
HYPERLINK(
"https://drive.google.com/file/d/"&amp;
XLOOKUP(O891,'Hoa-Don'!A:A,'Hoa-Don'!D:D)
&amp;"/view",
"🔎"
),
""
)</f>
        <v/>
      </c>
    </row>
    <row r="892" ht="22.5" customHeight="1">
      <c r="A892" s="21">
        <v>891.0</v>
      </c>
      <c r="B892" s="22">
        <v>44319.0</v>
      </c>
      <c r="C892" s="23">
        <v>460.0</v>
      </c>
      <c r="D892" s="24" t="s">
        <v>935</v>
      </c>
      <c r="E892" s="35" t="s">
        <v>18</v>
      </c>
      <c r="F892" s="26"/>
      <c r="G892" s="36" t="s">
        <v>42</v>
      </c>
      <c r="H892" s="28">
        <v>9.71</v>
      </c>
      <c r="I892" s="28">
        <v>12007.057260815553</v>
      </c>
      <c r="J892" s="29">
        <v>116588.52600251902</v>
      </c>
      <c r="K892" s="29">
        <v>12007.057260815553</v>
      </c>
      <c r="L892" s="30">
        <v>21613.00000000001</v>
      </c>
      <c r="M892" s="29">
        <v>2.5950852857800665E8</v>
      </c>
      <c r="N892" s="31" t="s">
        <v>1004</v>
      </c>
      <c r="O892" s="32"/>
      <c r="P892" s="33" t="str">
        <f t="array" ref="P892">IFERROR(
HYPERLINK(
"https://drive.google.com/file/d/"&amp;
XLOOKUP(O892,'Hoa-Don'!A:A,'Hoa-Don'!D:D)
&amp;"/view",
"🔎"
),
""
)</f>
        <v/>
      </c>
    </row>
    <row r="893" ht="22.5" customHeight="1">
      <c r="A893" s="21">
        <v>892.0</v>
      </c>
      <c r="B893" s="22">
        <v>44319.0</v>
      </c>
      <c r="C893" s="23">
        <v>460.0</v>
      </c>
      <c r="D893" s="24" t="s">
        <v>935</v>
      </c>
      <c r="E893" s="35" t="s">
        <v>18</v>
      </c>
      <c r="F893" s="26"/>
      <c r="G893" s="36" t="s">
        <v>42</v>
      </c>
      <c r="H893" s="28">
        <v>11.89</v>
      </c>
      <c r="I893" s="28">
        <v>12007.057260815553</v>
      </c>
      <c r="J893" s="29">
        <v>142763.91083109693</v>
      </c>
      <c r="K893" s="29">
        <v>12007.057260815553</v>
      </c>
      <c r="L893" s="30">
        <v>21601.11000000001</v>
      </c>
      <c r="M893" s="29">
        <v>2.593657646671756E8</v>
      </c>
      <c r="N893" s="31" t="s">
        <v>1005</v>
      </c>
      <c r="O893" s="32"/>
      <c r="P893" s="33" t="str">
        <f t="array" ref="P893">IFERROR(
HYPERLINK(
"https://drive.google.com/file/d/"&amp;
XLOOKUP(O893,'Hoa-Don'!A:A,'Hoa-Don'!D:D)
&amp;"/view",
"🔎"
),
""
)</f>
        <v/>
      </c>
    </row>
    <row r="894" ht="22.5" customHeight="1">
      <c r="A894" s="21">
        <v>893.0</v>
      </c>
      <c r="B894" s="22">
        <v>44320.0</v>
      </c>
      <c r="C894" s="23">
        <v>461.0</v>
      </c>
      <c r="D894" s="24" t="s">
        <v>115</v>
      </c>
      <c r="E894" s="35" t="s">
        <v>18</v>
      </c>
      <c r="F894" s="26"/>
      <c r="G894" s="36" t="s">
        <v>42</v>
      </c>
      <c r="H894" s="28">
        <v>355.0</v>
      </c>
      <c r="I894" s="28">
        <v>12007.057260815553</v>
      </c>
      <c r="J894" s="29">
        <v>4262505.327589521</v>
      </c>
      <c r="K894" s="29">
        <v>12007.057260815553</v>
      </c>
      <c r="L894" s="30">
        <v>21246.11000000001</v>
      </c>
      <c r="M894" s="29">
        <v>2.5510325933958605E8</v>
      </c>
      <c r="N894" s="31" t="s">
        <v>1006</v>
      </c>
      <c r="O894" s="32"/>
      <c r="P894" s="33" t="str">
        <f t="array" ref="P894">IFERROR(
HYPERLINK(
"https://drive.google.com/file/d/"&amp;
XLOOKUP(O894,'Hoa-Don'!A:A,'Hoa-Don'!D:D)
&amp;"/view",
"🔎"
),
""
)</f>
        <v/>
      </c>
    </row>
    <row r="895" ht="22.5" customHeight="1">
      <c r="A895" s="21">
        <v>894.0</v>
      </c>
      <c r="B895" s="22">
        <v>44357.0</v>
      </c>
      <c r="C895" s="23">
        <v>462.0</v>
      </c>
      <c r="D895" s="24" t="s">
        <v>845</v>
      </c>
      <c r="E895" s="35" t="s">
        <v>18</v>
      </c>
      <c r="F895" s="26"/>
      <c r="G895" s="36" t="s">
        <v>42</v>
      </c>
      <c r="H895" s="28">
        <v>727.0</v>
      </c>
      <c r="I895" s="28">
        <v>12007.057260815553</v>
      </c>
      <c r="J895" s="29">
        <v>8729130.628612908</v>
      </c>
      <c r="K895" s="29">
        <v>12007.057260815553</v>
      </c>
      <c r="L895" s="30">
        <v>20519.11000000001</v>
      </c>
      <c r="M895" s="29">
        <v>2.4637412871097314E8</v>
      </c>
      <c r="N895" s="31" t="s">
        <v>1007</v>
      </c>
      <c r="O895" s="32"/>
      <c r="P895" s="33" t="str">
        <f t="array" ref="P895">IFERROR(
HYPERLINK(
"https://drive.google.com/file/d/"&amp;
XLOOKUP(O895,'Hoa-Don'!A:A,'Hoa-Don'!D:D)
&amp;"/view",
"🔎"
),
""
)</f>
        <v/>
      </c>
    </row>
    <row r="896" ht="22.5" customHeight="1">
      <c r="A896" s="21">
        <v>895.0</v>
      </c>
      <c r="B896" s="22">
        <v>44358.0</v>
      </c>
      <c r="C896" s="23">
        <v>463.0</v>
      </c>
      <c r="D896" s="24" t="s">
        <v>935</v>
      </c>
      <c r="E896" s="35" t="s">
        <v>18</v>
      </c>
      <c r="F896" s="26"/>
      <c r="G896" s="36" t="s">
        <v>42</v>
      </c>
      <c r="H896" s="28">
        <v>761.14</v>
      </c>
      <c r="I896" s="28">
        <v>12007.057260815553</v>
      </c>
      <c r="J896" s="29">
        <v>9139051.56349715</v>
      </c>
      <c r="K896" s="29">
        <v>12007.057260815553</v>
      </c>
      <c r="L896" s="30">
        <v>19757.970000000012</v>
      </c>
      <c r="M896" s="29">
        <v>2.3723507714747602E8</v>
      </c>
      <c r="N896" s="31" t="s">
        <v>1008</v>
      </c>
      <c r="O896" s="32"/>
      <c r="P896" s="33" t="str">
        <f t="array" ref="P896">IFERROR(
HYPERLINK(
"https://drive.google.com/file/d/"&amp;
XLOOKUP(O896,'Hoa-Don'!A:A,'Hoa-Don'!D:D)
&amp;"/view",
"🔎"
),
""
)</f>
        <v/>
      </c>
    </row>
    <row r="897" ht="22.5" customHeight="1">
      <c r="A897" s="21">
        <v>896.0</v>
      </c>
      <c r="B897" s="22">
        <v>44358.0</v>
      </c>
      <c r="C897" s="23">
        <v>463.0</v>
      </c>
      <c r="D897" s="24" t="s">
        <v>935</v>
      </c>
      <c r="E897" s="35" t="s">
        <v>18</v>
      </c>
      <c r="F897" s="26"/>
      <c r="G897" s="36" t="s">
        <v>42</v>
      </c>
      <c r="H897" s="28">
        <v>710.39</v>
      </c>
      <c r="I897" s="28">
        <v>12007.057260815553</v>
      </c>
      <c r="J897" s="29">
        <v>8529693.40751076</v>
      </c>
      <c r="K897" s="29">
        <v>12007.057260815553</v>
      </c>
      <c r="L897" s="30">
        <v>19047.580000000013</v>
      </c>
      <c r="M897" s="29">
        <v>2.2870538373996526E8</v>
      </c>
      <c r="N897" s="31" t="s">
        <v>1009</v>
      </c>
      <c r="O897" s="32"/>
      <c r="P897" s="33" t="str">
        <f t="array" ref="P897">IFERROR(
HYPERLINK(
"https://drive.google.com/file/d/"&amp;
XLOOKUP(O897,'Hoa-Don'!A:A,'Hoa-Don'!D:D)
&amp;"/view",
"🔎"
),
""
)</f>
        <v/>
      </c>
    </row>
    <row r="898" ht="22.5" customHeight="1">
      <c r="A898" s="21">
        <v>897.0</v>
      </c>
      <c r="B898" s="22">
        <v>44358.0</v>
      </c>
      <c r="C898" s="23">
        <v>463.0</v>
      </c>
      <c r="D898" s="24" t="s">
        <v>935</v>
      </c>
      <c r="E898" s="35" t="s">
        <v>18</v>
      </c>
      <c r="F898" s="26"/>
      <c r="G898" s="36" t="s">
        <v>42</v>
      </c>
      <c r="H898" s="28">
        <v>126.86</v>
      </c>
      <c r="I898" s="28">
        <v>12007.057260815553</v>
      </c>
      <c r="J898" s="29">
        <v>1523215.284107061</v>
      </c>
      <c r="K898" s="29">
        <v>12007.057260815553</v>
      </c>
      <c r="L898" s="30">
        <v>18920.720000000012</v>
      </c>
      <c r="M898" s="29">
        <v>2.271821684558582E8</v>
      </c>
      <c r="N898" s="31" t="s">
        <v>1010</v>
      </c>
      <c r="O898" s="32"/>
      <c r="P898" s="33" t="str">
        <f t="array" ref="P898">IFERROR(
HYPERLINK(
"https://drive.google.com/file/d/"&amp;
XLOOKUP(O898,'Hoa-Don'!A:A,'Hoa-Don'!D:D)
&amp;"/view",
"🔎"
),
""
)</f>
        <v/>
      </c>
    </row>
    <row r="899" ht="22.5" customHeight="1">
      <c r="A899" s="21">
        <v>898.0</v>
      </c>
      <c r="B899" s="22">
        <v>44358.0</v>
      </c>
      <c r="C899" s="23">
        <v>463.0</v>
      </c>
      <c r="D899" s="24" t="s">
        <v>935</v>
      </c>
      <c r="E899" s="35" t="s">
        <v>18</v>
      </c>
      <c r="F899" s="26"/>
      <c r="G899" s="36" t="s">
        <v>42</v>
      </c>
      <c r="H899" s="28">
        <v>126.86</v>
      </c>
      <c r="I899" s="28">
        <v>12007.057260815553</v>
      </c>
      <c r="J899" s="29">
        <v>1523215.284107061</v>
      </c>
      <c r="K899" s="29">
        <v>12007.057260815553</v>
      </c>
      <c r="L899" s="30">
        <v>18793.86000000001</v>
      </c>
      <c r="M899" s="29">
        <v>2.256589531717511E8</v>
      </c>
      <c r="N899" s="31" t="s">
        <v>1010</v>
      </c>
      <c r="O899" s="32"/>
      <c r="P899" s="33" t="str">
        <f t="array" ref="P899">IFERROR(
HYPERLINK(
"https://drive.google.com/file/d/"&amp;
XLOOKUP(O899,'Hoa-Don'!A:A,'Hoa-Don'!D:D)
&amp;"/view",
"🔎"
),
""
)</f>
        <v/>
      </c>
    </row>
    <row r="900" ht="22.5" customHeight="1">
      <c r="A900" s="21">
        <v>899.0</v>
      </c>
      <c r="B900" s="22">
        <v>44359.0</v>
      </c>
      <c r="C900" s="23">
        <v>464.0</v>
      </c>
      <c r="D900" s="24" t="s">
        <v>845</v>
      </c>
      <c r="E900" s="35" t="s">
        <v>18</v>
      </c>
      <c r="F900" s="26"/>
      <c r="G900" s="36" t="s">
        <v>42</v>
      </c>
      <c r="H900" s="28">
        <v>600.0</v>
      </c>
      <c r="I900" s="28">
        <v>12007.057260815553</v>
      </c>
      <c r="J900" s="29">
        <v>7204234.356489331</v>
      </c>
      <c r="K900" s="29">
        <v>12007.057260815553</v>
      </c>
      <c r="L900" s="30">
        <v>18193.86000000001</v>
      </c>
      <c r="M900" s="29">
        <v>2.1845471881526178E8</v>
      </c>
      <c r="N900" s="31" t="s">
        <v>1011</v>
      </c>
      <c r="O900" s="32"/>
      <c r="P900" s="33" t="str">
        <f t="array" ref="P900">IFERROR(
HYPERLINK(
"https://drive.google.com/file/d/"&amp;
XLOOKUP(O900,'Hoa-Don'!A:A,'Hoa-Don'!D:D)
&amp;"/view",
"🔎"
),
""
)</f>
        <v/>
      </c>
    </row>
    <row r="901" ht="22.5" customHeight="1">
      <c r="A901" s="21">
        <v>900.0</v>
      </c>
      <c r="B901" s="22">
        <v>44360.0</v>
      </c>
      <c r="C901" s="23">
        <v>465.0</v>
      </c>
      <c r="D901" s="24" t="s">
        <v>845</v>
      </c>
      <c r="E901" s="35" t="s">
        <v>18</v>
      </c>
      <c r="F901" s="26"/>
      <c r="G901" s="36" t="s">
        <v>42</v>
      </c>
      <c r="H901" s="28">
        <v>573.0</v>
      </c>
      <c r="I901" s="28">
        <v>12007.057260815553</v>
      </c>
      <c r="J901" s="29">
        <v>6880043.810447312</v>
      </c>
      <c r="K901" s="29">
        <v>12007.057260815553</v>
      </c>
      <c r="L901" s="30">
        <v>17620.86000000001</v>
      </c>
      <c r="M901" s="29">
        <v>2.1157467500481448E8</v>
      </c>
      <c r="N901" s="31" t="s">
        <v>1012</v>
      </c>
      <c r="O901" s="32"/>
      <c r="P901" s="33" t="str">
        <f t="array" ref="P901">IFERROR(
HYPERLINK(
"https://drive.google.com/file/d/"&amp;
XLOOKUP(O901,'Hoa-Don'!A:A,'Hoa-Don'!D:D)
&amp;"/view",
"🔎"
),
""
)</f>
        <v/>
      </c>
    </row>
    <row r="902" ht="22.5" customHeight="1">
      <c r="A902" s="21">
        <v>901.0</v>
      </c>
      <c r="B902" s="22">
        <v>44360.0</v>
      </c>
      <c r="C902" s="23">
        <v>465.0</v>
      </c>
      <c r="D902" s="24" t="s">
        <v>845</v>
      </c>
      <c r="E902" s="35" t="s">
        <v>18</v>
      </c>
      <c r="F902" s="26"/>
      <c r="G902" s="36" t="s">
        <v>42</v>
      </c>
      <c r="H902" s="28">
        <v>118.44</v>
      </c>
      <c r="I902" s="28">
        <v>12007.057260815553</v>
      </c>
      <c r="J902" s="29">
        <v>1422115.861970994</v>
      </c>
      <c r="K902" s="29">
        <v>12007.057260815553</v>
      </c>
      <c r="L902" s="30">
        <v>17502.420000000013</v>
      </c>
      <c r="M902" s="29">
        <v>2.1015255914284348E8</v>
      </c>
      <c r="N902" s="31" t="s">
        <v>1013</v>
      </c>
      <c r="O902" s="32"/>
      <c r="P902" s="33" t="str">
        <f t="array" ref="P902">IFERROR(
HYPERLINK(
"https://drive.google.com/file/d/"&amp;
XLOOKUP(O902,'Hoa-Don'!A:A,'Hoa-Don'!D:D)
&amp;"/view",
"🔎"
),
""
)</f>
        <v/>
      </c>
    </row>
    <row r="903" ht="22.5" customHeight="1">
      <c r="A903" s="21">
        <v>902.0</v>
      </c>
      <c r="B903" s="22">
        <v>44361.0</v>
      </c>
      <c r="C903" s="23">
        <v>577.0</v>
      </c>
      <c r="D903" s="24" t="s">
        <v>725</v>
      </c>
      <c r="E903" s="35" t="s">
        <v>18</v>
      </c>
      <c r="F903" s="26"/>
      <c r="G903" s="27" t="s">
        <v>38</v>
      </c>
      <c r="H903" s="28">
        <v>844.0</v>
      </c>
      <c r="I903" s="28">
        <v>20272.73</v>
      </c>
      <c r="J903" s="29">
        <v>1.711018412E7</v>
      </c>
      <c r="K903" s="29">
        <v>12387.307347310447</v>
      </c>
      <c r="L903" s="30">
        <v>18346.420000000013</v>
      </c>
      <c r="M903" s="29">
        <v>2.272627432628435E8</v>
      </c>
      <c r="N903" s="31" t="s">
        <v>1014</v>
      </c>
      <c r="O903" s="32"/>
      <c r="P903" s="33" t="str">
        <f t="array" ref="P903">IFERROR(
HYPERLINK(
"https://drive.google.com/file/d/"&amp;
XLOOKUP(O903,'Hoa-Don'!A:A,'Hoa-Don'!D:D)
&amp;"/view",
"🔎"
),
""
)</f>
        <v/>
      </c>
    </row>
    <row r="904" ht="22.5" customHeight="1">
      <c r="A904" s="21">
        <v>903.0</v>
      </c>
      <c r="B904" s="22">
        <v>44361.0</v>
      </c>
      <c r="C904" s="23">
        <v>577.0</v>
      </c>
      <c r="D904" s="24" t="s">
        <v>725</v>
      </c>
      <c r="E904" s="35" t="s">
        <v>18</v>
      </c>
      <c r="F904" s="26"/>
      <c r="G904" s="27" t="s">
        <v>38</v>
      </c>
      <c r="H904" s="28">
        <v>2740.0</v>
      </c>
      <c r="I904" s="28">
        <v>20272.73</v>
      </c>
      <c r="J904" s="29">
        <v>5.5547280199999996E7</v>
      </c>
      <c r="K904" s="29">
        <v>13411.950604362586</v>
      </c>
      <c r="L904" s="30">
        <v>21086.420000000013</v>
      </c>
      <c r="M904" s="29">
        <v>2.828100234628435E8</v>
      </c>
      <c r="N904" s="31" t="s">
        <v>1015</v>
      </c>
      <c r="O904" s="32"/>
      <c r="P904" s="33" t="str">
        <f t="array" ref="P904">IFERROR(
HYPERLINK(
"https://drive.google.com/file/d/"&amp;
XLOOKUP(O904,'Hoa-Don'!A:A,'Hoa-Don'!D:D)
&amp;"/view",
"🔎"
),
""
)</f>
        <v/>
      </c>
    </row>
    <row r="905" ht="22.5" customHeight="1">
      <c r="A905" s="21">
        <v>904.0</v>
      </c>
      <c r="B905" s="22">
        <v>44403.0</v>
      </c>
      <c r="C905" s="23">
        <v>290.0</v>
      </c>
      <c r="D905" s="24" t="s">
        <v>155</v>
      </c>
      <c r="E905" s="35" t="s">
        <v>18</v>
      </c>
      <c r="F905" s="26"/>
      <c r="G905" s="27" t="s">
        <v>38</v>
      </c>
      <c r="H905" s="28">
        <v>8364.0</v>
      </c>
      <c r="I905" s="28">
        <v>18181.81</v>
      </c>
      <c r="J905" s="29">
        <v>1.5207265884E8</v>
      </c>
      <c r="K905" s="29">
        <v>14766.60374632495</v>
      </c>
      <c r="L905" s="30">
        <v>29450.420000000013</v>
      </c>
      <c r="M905" s="29">
        <v>4.3488268230284345E8</v>
      </c>
      <c r="N905" s="31" t="s">
        <v>1016</v>
      </c>
      <c r="O905" s="32"/>
      <c r="P905" s="33" t="str">
        <f t="array" ref="P905">IFERROR(
HYPERLINK(
"https://drive.google.com/file/d/"&amp;
XLOOKUP(O905,'Hoa-Don'!A:A,'Hoa-Don'!D:D)
&amp;"/view",
"🔎"
),
""
)</f>
        <v/>
      </c>
    </row>
    <row r="906" ht="22.5" customHeight="1">
      <c r="A906" s="21">
        <v>905.0</v>
      </c>
      <c r="B906" s="22">
        <v>44450.0</v>
      </c>
      <c r="C906" s="23">
        <v>644.0</v>
      </c>
      <c r="D906" s="24" t="s">
        <v>725</v>
      </c>
      <c r="E906" s="35" t="s">
        <v>18</v>
      </c>
      <c r="F906" s="26"/>
      <c r="G906" s="27" t="s">
        <v>38</v>
      </c>
      <c r="H906" s="28">
        <v>6718.0</v>
      </c>
      <c r="I906" s="28">
        <v>20090.91</v>
      </c>
      <c r="J906" s="29">
        <v>1.3497073338E8</v>
      </c>
      <c r="K906" s="29">
        <v>15755.55182346487</v>
      </c>
      <c r="L906" s="30">
        <v>36168.42000000001</v>
      </c>
      <c r="M906" s="29">
        <v>5.698534156828434E8</v>
      </c>
      <c r="N906" s="31" t="s">
        <v>1017</v>
      </c>
      <c r="O906" s="32"/>
      <c r="P906" s="33" t="str">
        <f t="array" ref="P906">IFERROR(
HYPERLINK(
"https://drive.google.com/file/d/"&amp;
XLOOKUP(O906,'Hoa-Don'!A:A,'Hoa-Don'!D:D)
&amp;"/view",
"🔎"
),
""
)</f>
        <v/>
      </c>
    </row>
    <row r="907" ht="22.5" customHeight="1">
      <c r="A907" s="21">
        <v>906.0</v>
      </c>
      <c r="B907" s="22">
        <v>44457.0</v>
      </c>
      <c r="C907" s="23">
        <v>466.0</v>
      </c>
      <c r="D907" s="24" t="s">
        <v>845</v>
      </c>
      <c r="E907" s="35" t="s">
        <v>18</v>
      </c>
      <c r="F907" s="26"/>
      <c r="G907" s="36" t="s">
        <v>42</v>
      </c>
      <c r="H907" s="28">
        <v>500.0</v>
      </c>
      <c r="I907" s="28">
        <v>15755.55182346487</v>
      </c>
      <c r="J907" s="29">
        <v>7877775.911732435</v>
      </c>
      <c r="K907" s="29">
        <v>15755.55182346487</v>
      </c>
      <c r="L907" s="30">
        <v>35668.42000000001</v>
      </c>
      <c r="M907" s="29">
        <v>5.61975639771111E8</v>
      </c>
      <c r="N907" s="31" t="s">
        <v>1018</v>
      </c>
      <c r="O907" s="32"/>
      <c r="P907" s="33" t="str">
        <f t="array" ref="P907">IFERROR(
HYPERLINK(
"https://drive.google.com/file/d/"&amp;
XLOOKUP(O907,'Hoa-Don'!A:A,'Hoa-Don'!D:D)
&amp;"/view",
"🔎"
),
""
)</f>
        <v/>
      </c>
    </row>
    <row r="908" ht="22.5" customHeight="1">
      <c r="A908" s="21">
        <v>907.0</v>
      </c>
      <c r="B908" s="22">
        <v>44459.0</v>
      </c>
      <c r="C908" s="23">
        <v>468.0</v>
      </c>
      <c r="D908" s="24" t="s">
        <v>1019</v>
      </c>
      <c r="E908" s="35" t="s">
        <v>18</v>
      </c>
      <c r="F908" s="26"/>
      <c r="G908" s="36" t="s">
        <v>42</v>
      </c>
      <c r="H908" s="28">
        <v>3021.0</v>
      </c>
      <c r="I908" s="28">
        <v>15755.55182346487</v>
      </c>
      <c r="J908" s="29">
        <v>4.7597522058687374E7</v>
      </c>
      <c r="K908" s="29">
        <v>15755.55182346487</v>
      </c>
      <c r="L908" s="30">
        <v>32647.420000000013</v>
      </c>
      <c r="M908" s="29">
        <v>5.143781177124237E8</v>
      </c>
      <c r="N908" s="31" t="s">
        <v>1020</v>
      </c>
      <c r="O908" s="32"/>
      <c r="P908" s="33" t="str">
        <f t="array" ref="P908">IFERROR(
HYPERLINK(
"https://drive.google.com/file/d/"&amp;
XLOOKUP(O908,'Hoa-Don'!A:A,'Hoa-Don'!D:D)
&amp;"/view",
"🔎"
),
""
)</f>
        <v/>
      </c>
    </row>
    <row r="909" ht="22.5" customHeight="1">
      <c r="A909" s="21">
        <v>908.0</v>
      </c>
      <c r="B909" s="22">
        <v>44463.0</v>
      </c>
      <c r="C909" s="23">
        <v>469.0</v>
      </c>
      <c r="D909" s="24" t="s">
        <v>935</v>
      </c>
      <c r="E909" s="35" t="s">
        <v>18</v>
      </c>
      <c r="F909" s="26"/>
      <c r="G909" s="36" t="s">
        <v>42</v>
      </c>
      <c r="H909" s="28">
        <v>6.54</v>
      </c>
      <c r="I909" s="28">
        <v>15755.55182346487</v>
      </c>
      <c r="J909" s="29">
        <v>103041.30892546025</v>
      </c>
      <c r="K909" s="29">
        <v>15755.55182346487</v>
      </c>
      <c r="L909" s="30">
        <v>32640.880000000012</v>
      </c>
      <c r="M909" s="29">
        <v>5.142750764034982E8</v>
      </c>
      <c r="N909" s="31" t="s">
        <v>1021</v>
      </c>
      <c r="O909" s="32"/>
      <c r="P909" s="33" t="str">
        <f t="array" ref="P909">IFERROR(
HYPERLINK(
"https://drive.google.com/file/d/"&amp;
XLOOKUP(O909,'Hoa-Don'!A:A,'Hoa-Don'!D:D)
&amp;"/view",
"🔎"
),
""
)</f>
        <v/>
      </c>
    </row>
    <row r="910" ht="22.5" customHeight="1">
      <c r="A910" s="21">
        <v>909.0</v>
      </c>
      <c r="B910" s="22">
        <v>44463.0</v>
      </c>
      <c r="C910" s="23">
        <v>469.0</v>
      </c>
      <c r="D910" s="24" t="s">
        <v>935</v>
      </c>
      <c r="E910" s="35" t="s">
        <v>18</v>
      </c>
      <c r="F910" s="26"/>
      <c r="G910" s="36" t="s">
        <v>42</v>
      </c>
      <c r="H910" s="28">
        <v>38.53</v>
      </c>
      <c r="I910" s="28">
        <v>15755.55182346487</v>
      </c>
      <c r="J910" s="29">
        <v>607061.4117581014</v>
      </c>
      <c r="K910" s="29">
        <v>15755.55182346487</v>
      </c>
      <c r="L910" s="30">
        <v>32602.350000000013</v>
      </c>
      <c r="M910" s="29">
        <v>5.136680149917401E8</v>
      </c>
      <c r="N910" s="31" t="s">
        <v>1022</v>
      </c>
      <c r="O910" s="32"/>
      <c r="P910" s="33" t="str">
        <f t="array" ref="P910">IFERROR(
HYPERLINK(
"https://drive.google.com/file/d/"&amp;
XLOOKUP(O910,'Hoa-Don'!A:A,'Hoa-Don'!D:D)
&amp;"/view",
"🔎"
),
""
)</f>
        <v/>
      </c>
    </row>
    <row r="911" ht="22.5" customHeight="1">
      <c r="A911" s="21">
        <v>910.0</v>
      </c>
      <c r="B911" s="22">
        <v>44463.0</v>
      </c>
      <c r="C911" s="23">
        <v>469.0</v>
      </c>
      <c r="D911" s="24" t="s">
        <v>935</v>
      </c>
      <c r="E911" s="35" t="s">
        <v>18</v>
      </c>
      <c r="F911" s="26"/>
      <c r="G911" s="36" t="s">
        <v>42</v>
      </c>
      <c r="H911" s="28">
        <v>14.27</v>
      </c>
      <c r="I911" s="28">
        <v>15755.55182346487</v>
      </c>
      <c r="J911" s="29">
        <v>224831.72452084368</v>
      </c>
      <c r="K911" s="29">
        <v>15755.55182346487</v>
      </c>
      <c r="L911" s="30">
        <v>32588.080000000013</v>
      </c>
      <c r="M911" s="29">
        <v>5.1344318326721925E8</v>
      </c>
      <c r="N911" s="31" t="s">
        <v>1023</v>
      </c>
      <c r="O911" s="32"/>
      <c r="P911" s="33" t="str">
        <f t="array" ref="P911">IFERROR(
HYPERLINK(
"https://drive.google.com/file/d/"&amp;
XLOOKUP(O911,'Hoa-Don'!A:A,'Hoa-Don'!D:D)
&amp;"/view",
"🔎"
),
""
)</f>
        <v/>
      </c>
    </row>
    <row r="912" ht="22.5" customHeight="1">
      <c r="A912" s="21">
        <v>911.0</v>
      </c>
      <c r="B912" s="22">
        <v>44463.0</v>
      </c>
      <c r="C912" s="23">
        <v>469.0</v>
      </c>
      <c r="D912" s="24" t="s">
        <v>935</v>
      </c>
      <c r="E912" s="35" t="s">
        <v>18</v>
      </c>
      <c r="F912" s="26"/>
      <c r="G912" s="36" t="s">
        <v>42</v>
      </c>
      <c r="H912" s="28">
        <v>22.48</v>
      </c>
      <c r="I912" s="28">
        <v>15755.55182346487</v>
      </c>
      <c r="J912" s="29">
        <v>354184.80499149027</v>
      </c>
      <c r="K912" s="29">
        <v>15755.55182346487</v>
      </c>
      <c r="L912" s="30">
        <v>32565.600000000013</v>
      </c>
      <c r="M912" s="29">
        <v>5.1308899846222776E8</v>
      </c>
      <c r="N912" s="31" t="s">
        <v>1024</v>
      </c>
      <c r="O912" s="32"/>
      <c r="P912" s="33" t="str">
        <f t="array" ref="P912">IFERROR(
HYPERLINK(
"https://drive.google.com/file/d/"&amp;
XLOOKUP(O912,'Hoa-Don'!A:A,'Hoa-Don'!D:D)
&amp;"/view",
"🔎"
),
""
)</f>
        <v/>
      </c>
    </row>
    <row r="913" ht="22.5" customHeight="1">
      <c r="A913" s="21">
        <v>912.0</v>
      </c>
      <c r="B913" s="22">
        <v>44464.0</v>
      </c>
      <c r="C913" s="23">
        <v>470.0</v>
      </c>
      <c r="D913" s="24" t="s">
        <v>845</v>
      </c>
      <c r="E913" s="35" t="s">
        <v>18</v>
      </c>
      <c r="F913" s="26"/>
      <c r="G913" s="36" t="s">
        <v>42</v>
      </c>
      <c r="H913" s="28">
        <v>773.0</v>
      </c>
      <c r="I913" s="28">
        <v>15755.55182346487</v>
      </c>
      <c r="J913" s="29">
        <v>1.2179041559538344E7</v>
      </c>
      <c r="K913" s="29">
        <v>15755.55182346487</v>
      </c>
      <c r="L913" s="30">
        <v>31792.600000000013</v>
      </c>
      <c r="M913" s="29">
        <v>5.009099569026894E8</v>
      </c>
      <c r="N913" s="31" t="s">
        <v>1025</v>
      </c>
      <c r="O913" s="32"/>
      <c r="P913" s="33" t="str">
        <f t="array" ref="P913">IFERROR(
HYPERLINK(
"https://drive.google.com/file/d/"&amp;
XLOOKUP(O913,'Hoa-Don'!A:A,'Hoa-Don'!D:D)
&amp;"/view",
"🔎"
),
""
)</f>
        <v/>
      </c>
    </row>
    <row r="914" ht="22.5" customHeight="1">
      <c r="A914" s="21">
        <v>913.0</v>
      </c>
      <c r="B914" s="22">
        <v>44465.0</v>
      </c>
      <c r="C914" s="23">
        <v>471.0</v>
      </c>
      <c r="D914" s="24" t="s">
        <v>845</v>
      </c>
      <c r="E914" s="35" t="s">
        <v>18</v>
      </c>
      <c r="F914" s="26"/>
      <c r="G914" s="36" t="s">
        <v>42</v>
      </c>
      <c r="H914" s="28">
        <v>507.0</v>
      </c>
      <c r="I914" s="28">
        <v>15755.55182346487</v>
      </c>
      <c r="J914" s="29">
        <v>7988064.774496689</v>
      </c>
      <c r="K914" s="29">
        <v>15755.55182346487</v>
      </c>
      <c r="L914" s="30">
        <v>31285.600000000013</v>
      </c>
      <c r="M914" s="29">
        <v>4.929218921281927E8</v>
      </c>
      <c r="N914" s="31" t="s">
        <v>1026</v>
      </c>
      <c r="O914" s="32"/>
      <c r="P914" s="33" t="str">
        <f t="array" ref="P914">IFERROR(
HYPERLINK(
"https://drive.google.com/file/d/"&amp;
XLOOKUP(O914,'Hoa-Don'!A:A,'Hoa-Don'!D:D)
&amp;"/view",
"🔎"
),
""
)</f>
        <v/>
      </c>
    </row>
    <row r="915" ht="22.5" customHeight="1">
      <c r="A915" s="21">
        <v>914.0</v>
      </c>
      <c r="B915" s="22">
        <v>44465.0</v>
      </c>
      <c r="C915" s="23">
        <v>471.0</v>
      </c>
      <c r="D915" s="24" t="s">
        <v>845</v>
      </c>
      <c r="E915" s="35" t="s">
        <v>18</v>
      </c>
      <c r="F915" s="26"/>
      <c r="G915" s="36" t="s">
        <v>42</v>
      </c>
      <c r="H915" s="28">
        <v>29.0</v>
      </c>
      <c r="I915" s="28">
        <v>15755.55182346487</v>
      </c>
      <c r="J915" s="29">
        <v>456911.00288048125</v>
      </c>
      <c r="K915" s="29">
        <v>15755.55182346487</v>
      </c>
      <c r="L915" s="30">
        <v>31256.600000000013</v>
      </c>
      <c r="M915" s="29">
        <v>4.9246498112531227E8</v>
      </c>
      <c r="N915" s="31" t="s">
        <v>1027</v>
      </c>
      <c r="O915" s="32"/>
      <c r="P915" s="33" t="str">
        <f t="array" ref="P915">IFERROR(
HYPERLINK(
"https://drive.google.com/file/d/"&amp;
XLOOKUP(O915,'Hoa-Don'!A:A,'Hoa-Don'!D:D)
&amp;"/view",
"🔎"
),
""
)</f>
        <v/>
      </c>
    </row>
    <row r="916" ht="22.5" customHeight="1">
      <c r="A916" s="21">
        <v>915.0</v>
      </c>
      <c r="B916" s="22">
        <v>44487.0</v>
      </c>
      <c r="C916" s="23">
        <v>329.0</v>
      </c>
      <c r="D916" s="24" t="s">
        <v>155</v>
      </c>
      <c r="E916" s="35" t="s">
        <v>18</v>
      </c>
      <c r="F916" s="26"/>
      <c r="G916" s="27" t="s">
        <v>38</v>
      </c>
      <c r="H916" s="28">
        <v>7229.0</v>
      </c>
      <c r="I916" s="28">
        <v>18909.09</v>
      </c>
      <c r="J916" s="29">
        <v>1.3669381161E8</v>
      </c>
      <c r="K916" s="29">
        <v>16347.901364024778</v>
      </c>
      <c r="L916" s="30">
        <v>38485.60000000001</v>
      </c>
      <c r="M916" s="29">
        <v>6.291587927353122E8</v>
      </c>
      <c r="N916" s="31" t="s">
        <v>1028</v>
      </c>
      <c r="O916" s="32"/>
      <c r="P916" s="33" t="str">
        <f t="array" ref="P916">IFERROR(
HYPERLINK(
"https://drive.google.com/file/d/"&amp;
XLOOKUP(O916,'Hoa-Don'!A:A,'Hoa-Don'!D:D)
&amp;"/view",
"🔎"
),
""
)</f>
        <v/>
      </c>
    </row>
    <row r="917" ht="22.5" customHeight="1">
      <c r="A917" s="21">
        <v>916.0</v>
      </c>
      <c r="B917" s="22">
        <v>44489.0</v>
      </c>
      <c r="C917" s="23">
        <v>277.0</v>
      </c>
      <c r="D917" s="24" t="s">
        <v>1029</v>
      </c>
      <c r="E917" s="35" t="s">
        <v>18</v>
      </c>
      <c r="F917" s="26"/>
      <c r="G917" s="27" t="s">
        <v>38</v>
      </c>
      <c r="H917" s="28">
        <v>8907.0</v>
      </c>
      <c r="I917" s="28">
        <v>21433.0</v>
      </c>
      <c r="J917" s="29">
        <v>1.90903731E8</v>
      </c>
      <c r="K917" s="29">
        <v>17303.59853089537</v>
      </c>
      <c r="L917" s="30">
        <v>47392.60000000001</v>
      </c>
      <c r="M917" s="29">
        <v>8.200625237353122E8</v>
      </c>
      <c r="N917" s="31" t="s">
        <v>1030</v>
      </c>
      <c r="O917" s="32"/>
      <c r="P917" s="33" t="str">
        <f t="array" ref="P917">IFERROR(
HYPERLINK(
"https://drive.google.com/file/d/"&amp;
XLOOKUP(O917,'Hoa-Don'!A:A,'Hoa-Don'!D:D)
&amp;"/view",
"🔎"
),
""
)</f>
        <v/>
      </c>
    </row>
    <row r="918" ht="22.5" customHeight="1">
      <c r="A918" s="21">
        <v>917.0</v>
      </c>
      <c r="B918" s="22">
        <v>44494.0</v>
      </c>
      <c r="C918" s="23">
        <v>472.0</v>
      </c>
      <c r="D918" s="24" t="s">
        <v>935</v>
      </c>
      <c r="E918" s="35" t="s">
        <v>18</v>
      </c>
      <c r="F918" s="26"/>
      <c r="G918" s="36" t="s">
        <v>42</v>
      </c>
      <c r="H918" s="28">
        <v>304.45</v>
      </c>
      <c r="I918" s="28">
        <v>17303.59853089537</v>
      </c>
      <c r="J918" s="29">
        <v>5268080.572731095</v>
      </c>
      <c r="K918" s="29">
        <v>17303.59853089537</v>
      </c>
      <c r="L918" s="30">
        <v>47088.150000000016</v>
      </c>
      <c r="M918" s="29">
        <v>8.147944431625812E8</v>
      </c>
      <c r="N918" s="31" t="s">
        <v>1031</v>
      </c>
      <c r="O918" s="32"/>
      <c r="P918" s="33" t="str">
        <f t="array" ref="P918">IFERROR(
HYPERLINK(
"https://drive.google.com/file/d/"&amp;
XLOOKUP(O918,'Hoa-Don'!A:A,'Hoa-Don'!D:D)
&amp;"/view",
"🔎"
),
""
)</f>
        <v/>
      </c>
    </row>
    <row r="919" ht="22.5" customHeight="1">
      <c r="A919" s="21">
        <v>918.0</v>
      </c>
      <c r="B919" s="22">
        <v>44494.0</v>
      </c>
      <c r="C919" s="23">
        <v>472.0</v>
      </c>
      <c r="D919" s="24" t="s">
        <v>935</v>
      </c>
      <c r="E919" s="35" t="s">
        <v>18</v>
      </c>
      <c r="F919" s="26"/>
      <c r="G919" s="36" t="s">
        <v>42</v>
      </c>
      <c r="H919" s="28">
        <v>304.45</v>
      </c>
      <c r="I919" s="28">
        <v>17303.59853089537</v>
      </c>
      <c r="J919" s="29">
        <v>5268080.572731095</v>
      </c>
      <c r="K919" s="29">
        <v>17303.59853089537</v>
      </c>
      <c r="L919" s="30">
        <v>46783.70000000002</v>
      </c>
      <c r="M919" s="29">
        <v>8.095263625898501E8</v>
      </c>
      <c r="N919" s="31" t="s">
        <v>1031</v>
      </c>
      <c r="O919" s="32"/>
      <c r="P919" s="33" t="str">
        <f t="array" ref="P919">IFERROR(
HYPERLINK(
"https://drive.google.com/file/d/"&amp;
XLOOKUP(O919,'Hoa-Don'!A:A,'Hoa-Don'!D:D)
&amp;"/view",
"🔎"
),
""
)</f>
        <v/>
      </c>
    </row>
    <row r="920" ht="22.5" customHeight="1">
      <c r="A920" s="21">
        <v>919.0</v>
      </c>
      <c r="B920" s="22">
        <v>44495.0</v>
      </c>
      <c r="C920" s="23">
        <v>473.0</v>
      </c>
      <c r="D920" s="24" t="s">
        <v>130</v>
      </c>
      <c r="E920" s="25" t="s">
        <v>11</v>
      </c>
      <c r="F920" s="26"/>
      <c r="G920" s="36" t="s">
        <v>42</v>
      </c>
      <c r="H920" s="28">
        <v>135.0</v>
      </c>
      <c r="I920" s="28">
        <v>13523.303142328534</v>
      </c>
      <c r="J920" s="29">
        <v>1825645.9242143522</v>
      </c>
      <c r="K920" s="29">
        <v>13523.303142328534</v>
      </c>
      <c r="L920" s="30">
        <v>31632.41999999999</v>
      </c>
      <c r="M920" s="29">
        <v>4.277748047854558E8</v>
      </c>
      <c r="N920" s="31" t="s">
        <v>1032</v>
      </c>
      <c r="O920" s="32"/>
      <c r="P920" s="33" t="str">
        <f t="array" ref="P920">IFERROR(
HYPERLINK(
"https://drive.google.com/file/d/"&amp;
XLOOKUP(O920,'Hoa-Don'!A:A,'Hoa-Don'!D:D)
&amp;"/view",
"🔎"
),
""
)</f>
        <v/>
      </c>
    </row>
    <row r="921" ht="22.5" customHeight="1">
      <c r="A921" s="21">
        <v>920.0</v>
      </c>
      <c r="B921" s="22">
        <v>44496.0</v>
      </c>
      <c r="C921" s="23">
        <v>474.0</v>
      </c>
      <c r="D921" s="24" t="s">
        <v>935</v>
      </c>
      <c r="E921" s="35" t="s">
        <v>18</v>
      </c>
      <c r="F921" s="26"/>
      <c r="G921" s="36" t="s">
        <v>42</v>
      </c>
      <c r="H921" s="28">
        <v>4.66</v>
      </c>
      <c r="I921" s="28">
        <v>17303.59853089537</v>
      </c>
      <c r="J921" s="29">
        <v>80634.76915397243</v>
      </c>
      <c r="K921" s="29">
        <v>17303.59853089537</v>
      </c>
      <c r="L921" s="30">
        <v>46779.040000000015</v>
      </c>
      <c r="M921" s="29">
        <v>8.094457278206961E8</v>
      </c>
      <c r="N921" s="31" t="s">
        <v>1033</v>
      </c>
      <c r="O921" s="32"/>
      <c r="P921" s="33" t="str">
        <f t="array" ref="P921">IFERROR(
HYPERLINK(
"https://drive.google.com/file/d/"&amp;
XLOOKUP(O921,'Hoa-Don'!A:A,'Hoa-Don'!D:D)
&amp;"/view",
"🔎"
),
""
)</f>
        <v/>
      </c>
    </row>
    <row r="922" ht="22.5" customHeight="1">
      <c r="A922" s="21">
        <v>921.0</v>
      </c>
      <c r="B922" s="22">
        <v>44496.0</v>
      </c>
      <c r="C922" s="23">
        <v>474.0</v>
      </c>
      <c r="D922" s="24" t="s">
        <v>935</v>
      </c>
      <c r="E922" s="35" t="s">
        <v>18</v>
      </c>
      <c r="F922" s="26"/>
      <c r="G922" s="36" t="s">
        <v>42</v>
      </c>
      <c r="H922" s="28">
        <v>2.62</v>
      </c>
      <c r="I922" s="28">
        <v>17303.59853089537</v>
      </c>
      <c r="J922" s="29">
        <v>45335.428150945874</v>
      </c>
      <c r="K922" s="29">
        <v>17303.59853089537</v>
      </c>
      <c r="L922" s="30">
        <v>46776.42000000001</v>
      </c>
      <c r="M922" s="29">
        <v>8.094003923925451E8</v>
      </c>
      <c r="N922" s="31" t="s">
        <v>1034</v>
      </c>
      <c r="O922" s="32"/>
      <c r="P922" s="33" t="str">
        <f t="array" ref="P922">IFERROR(
HYPERLINK(
"https://drive.google.com/file/d/"&amp;
XLOOKUP(O922,'Hoa-Don'!A:A,'Hoa-Don'!D:D)
&amp;"/view",
"🔎"
),
""
)</f>
        <v/>
      </c>
    </row>
    <row r="923" ht="22.5" customHeight="1">
      <c r="A923" s="21">
        <v>922.0</v>
      </c>
      <c r="B923" s="22">
        <v>44496.0</v>
      </c>
      <c r="C923" s="23">
        <v>474.0</v>
      </c>
      <c r="D923" s="24" t="s">
        <v>935</v>
      </c>
      <c r="E923" s="35" t="s">
        <v>18</v>
      </c>
      <c r="F923" s="26"/>
      <c r="G923" s="36" t="s">
        <v>42</v>
      </c>
      <c r="H923" s="28">
        <v>11.85</v>
      </c>
      <c r="I923" s="28">
        <v>17303.59853089537</v>
      </c>
      <c r="J923" s="29">
        <v>205047.64259111014</v>
      </c>
      <c r="K923" s="29">
        <v>17303.59853089537</v>
      </c>
      <c r="L923" s="30">
        <v>46764.570000000014</v>
      </c>
      <c r="M923" s="29">
        <v>8.09195344749954E8</v>
      </c>
      <c r="N923" s="31" t="s">
        <v>1035</v>
      </c>
      <c r="O923" s="32"/>
      <c r="P923" s="33" t="str">
        <f t="array" ref="P923">IFERROR(
HYPERLINK(
"https://drive.google.com/file/d/"&amp;
XLOOKUP(O923,'Hoa-Don'!A:A,'Hoa-Don'!D:D)
&amp;"/view",
"🔎"
),
""
)</f>
        <v/>
      </c>
    </row>
    <row r="924" ht="22.5" customHeight="1">
      <c r="A924" s="21">
        <v>923.0</v>
      </c>
      <c r="B924" s="22">
        <v>44496.0</v>
      </c>
      <c r="C924" s="23">
        <v>474.0</v>
      </c>
      <c r="D924" s="24" t="s">
        <v>935</v>
      </c>
      <c r="E924" s="35" t="s">
        <v>18</v>
      </c>
      <c r="F924" s="26"/>
      <c r="G924" s="36" t="s">
        <v>42</v>
      </c>
      <c r="H924" s="28">
        <v>31.71</v>
      </c>
      <c r="I924" s="28">
        <v>17303.59853089537</v>
      </c>
      <c r="J924" s="29">
        <v>548697.1094146923</v>
      </c>
      <c r="K924" s="29">
        <v>17303.59853089537</v>
      </c>
      <c r="L924" s="30">
        <v>46732.860000000015</v>
      </c>
      <c r="M924" s="29">
        <v>8.086466476405393E8</v>
      </c>
      <c r="N924" s="31" t="s">
        <v>1036</v>
      </c>
      <c r="O924" s="32"/>
      <c r="P924" s="33" t="str">
        <f t="array" ref="P924">IFERROR(
HYPERLINK(
"https://drive.google.com/file/d/"&amp;
XLOOKUP(O924,'Hoa-Don'!A:A,'Hoa-Don'!D:D)
&amp;"/view",
"🔎"
),
""
)</f>
        <v/>
      </c>
    </row>
    <row r="925" ht="22.5" customHeight="1">
      <c r="A925" s="21">
        <v>924.0</v>
      </c>
      <c r="B925" s="22">
        <v>44496.0</v>
      </c>
      <c r="C925" s="23">
        <v>474.0</v>
      </c>
      <c r="D925" s="24" t="s">
        <v>935</v>
      </c>
      <c r="E925" s="35" t="s">
        <v>18</v>
      </c>
      <c r="F925" s="26"/>
      <c r="G925" s="36" t="s">
        <v>42</v>
      </c>
      <c r="H925" s="28">
        <v>4.66</v>
      </c>
      <c r="I925" s="28">
        <v>17303.59853089537</v>
      </c>
      <c r="J925" s="29">
        <v>80634.76915397243</v>
      </c>
      <c r="K925" s="29">
        <v>17303.59853089537</v>
      </c>
      <c r="L925" s="30">
        <v>46728.20000000001</v>
      </c>
      <c r="M925" s="29">
        <v>8.085660128713853E8</v>
      </c>
      <c r="N925" s="31" t="s">
        <v>1033</v>
      </c>
      <c r="O925" s="32"/>
      <c r="P925" s="33" t="str">
        <f t="array" ref="P925">IFERROR(
HYPERLINK(
"https://drive.google.com/file/d/"&amp;
XLOOKUP(O925,'Hoa-Don'!A:A,'Hoa-Don'!D:D)
&amp;"/view",
"🔎"
),
""
)</f>
        <v/>
      </c>
    </row>
    <row r="926" ht="22.5" customHeight="1">
      <c r="A926" s="21">
        <v>925.0</v>
      </c>
      <c r="B926" s="22">
        <v>44496.0</v>
      </c>
      <c r="C926" s="23">
        <v>474.0</v>
      </c>
      <c r="D926" s="24" t="s">
        <v>935</v>
      </c>
      <c r="E926" s="35" t="s">
        <v>18</v>
      </c>
      <c r="F926" s="26"/>
      <c r="G926" s="36" t="s">
        <v>42</v>
      </c>
      <c r="H926" s="28">
        <v>2.4</v>
      </c>
      <c r="I926" s="28">
        <v>17303.59853089537</v>
      </c>
      <c r="J926" s="29">
        <v>41528.63647414889</v>
      </c>
      <c r="K926" s="29">
        <v>17303.59853089537</v>
      </c>
      <c r="L926" s="30">
        <v>46725.80000000001</v>
      </c>
      <c r="M926" s="29">
        <v>8.085244842349111E8</v>
      </c>
      <c r="N926" s="31" t="s">
        <v>1037</v>
      </c>
      <c r="O926" s="32"/>
      <c r="P926" s="33" t="str">
        <f t="array" ref="P926">IFERROR(
HYPERLINK(
"https://drive.google.com/file/d/"&amp;
XLOOKUP(O926,'Hoa-Don'!A:A,'Hoa-Don'!D:D)
&amp;"/view",
"🔎"
),
""
)</f>
        <v/>
      </c>
    </row>
    <row r="927" ht="22.5" customHeight="1">
      <c r="A927" s="21">
        <v>926.0</v>
      </c>
      <c r="B927" s="22">
        <v>44496.0</v>
      </c>
      <c r="C927" s="23">
        <v>474.0</v>
      </c>
      <c r="D927" s="24" t="s">
        <v>935</v>
      </c>
      <c r="E927" s="35" t="s">
        <v>18</v>
      </c>
      <c r="F927" s="26"/>
      <c r="G927" s="36" t="s">
        <v>42</v>
      </c>
      <c r="H927" s="28">
        <v>2.33</v>
      </c>
      <c r="I927" s="28">
        <v>17303.59853089537</v>
      </c>
      <c r="J927" s="29">
        <v>40317.38457698622</v>
      </c>
      <c r="K927" s="29">
        <v>17303.59853089537</v>
      </c>
      <c r="L927" s="30">
        <v>46723.47000000001</v>
      </c>
      <c r="M927" s="29">
        <v>8.08484166850334E8</v>
      </c>
      <c r="N927" s="31" t="s">
        <v>1038</v>
      </c>
      <c r="O927" s="32"/>
      <c r="P927" s="33" t="str">
        <f t="array" ref="P927">IFERROR(
HYPERLINK(
"https://drive.google.com/file/d/"&amp;
XLOOKUP(O927,'Hoa-Don'!A:A,'Hoa-Don'!D:D)
&amp;"/view",
"🔎"
),
""
)</f>
        <v/>
      </c>
    </row>
    <row r="928" ht="22.5" customHeight="1">
      <c r="A928" s="21">
        <v>927.0</v>
      </c>
      <c r="B928" s="22">
        <v>44500.0</v>
      </c>
      <c r="C928" s="23">
        <v>475.0</v>
      </c>
      <c r="D928" s="24" t="s">
        <v>130</v>
      </c>
      <c r="E928" s="25" t="s">
        <v>11</v>
      </c>
      <c r="F928" s="26"/>
      <c r="G928" s="36" t="s">
        <v>42</v>
      </c>
      <c r="H928" s="28">
        <v>102.0</v>
      </c>
      <c r="I928" s="28">
        <v>13523.303142328534</v>
      </c>
      <c r="J928" s="29">
        <v>1379376.9205175105</v>
      </c>
      <c r="K928" s="29">
        <v>13523.303142328534</v>
      </c>
      <c r="L928" s="30">
        <v>31530.41999999999</v>
      </c>
      <c r="M928" s="29">
        <v>4.263954278649383E8</v>
      </c>
      <c r="N928" s="31" t="s">
        <v>1039</v>
      </c>
      <c r="O928" s="32"/>
      <c r="P928" s="33" t="str">
        <f t="array" ref="P928">IFERROR(
HYPERLINK(
"https://drive.google.com/file/d/"&amp;
XLOOKUP(O928,'Hoa-Don'!A:A,'Hoa-Don'!D:D)
&amp;"/view",
"🔎"
),
""
)</f>
        <v/>
      </c>
    </row>
    <row r="929" ht="22.5" customHeight="1">
      <c r="A929" s="21">
        <v>928.0</v>
      </c>
      <c r="B929" s="22">
        <v>44504.0</v>
      </c>
      <c r="C929" s="23">
        <v>476.0</v>
      </c>
      <c r="D929" s="24" t="s">
        <v>935</v>
      </c>
      <c r="E929" s="35" t="s">
        <v>18</v>
      </c>
      <c r="F929" s="26"/>
      <c r="G929" s="36" t="s">
        <v>42</v>
      </c>
      <c r="H929" s="28">
        <v>95.14</v>
      </c>
      <c r="I929" s="28">
        <v>17303.59853089537</v>
      </c>
      <c r="J929" s="29">
        <v>1646264.3642293857</v>
      </c>
      <c r="K929" s="29">
        <v>17303.59853089537</v>
      </c>
      <c r="L929" s="30">
        <v>46628.33000000001</v>
      </c>
      <c r="M929" s="29">
        <v>8.068379024861047E8</v>
      </c>
      <c r="N929" s="31" t="s">
        <v>1040</v>
      </c>
      <c r="O929" s="32"/>
      <c r="P929" s="33" t="str">
        <f t="array" ref="P929">IFERROR(
HYPERLINK(
"https://drive.google.com/file/d/"&amp;
XLOOKUP(O929,'Hoa-Don'!A:A,'Hoa-Don'!D:D)
&amp;"/view",
"🔎"
),
""
)</f>
        <v/>
      </c>
    </row>
    <row r="930" ht="22.5" customHeight="1">
      <c r="A930" s="21">
        <v>929.0</v>
      </c>
      <c r="B930" s="22">
        <v>44504.0</v>
      </c>
      <c r="C930" s="23">
        <v>476.0</v>
      </c>
      <c r="D930" s="24" t="s">
        <v>935</v>
      </c>
      <c r="E930" s="35" t="s">
        <v>18</v>
      </c>
      <c r="F930" s="26"/>
      <c r="G930" s="36" t="s">
        <v>42</v>
      </c>
      <c r="H930" s="28">
        <v>304.45</v>
      </c>
      <c r="I930" s="28">
        <v>17303.59853089537</v>
      </c>
      <c r="J930" s="29">
        <v>5268080.572731095</v>
      </c>
      <c r="K930" s="29">
        <v>17303.59853089537</v>
      </c>
      <c r="L930" s="30">
        <v>46323.88000000001</v>
      </c>
      <c r="M930" s="29">
        <v>8.015698219133737E8</v>
      </c>
      <c r="N930" s="31" t="s">
        <v>1041</v>
      </c>
      <c r="O930" s="32"/>
      <c r="P930" s="33" t="str">
        <f t="array" ref="P930">IFERROR(
HYPERLINK(
"https://drive.google.com/file/d/"&amp;
XLOOKUP(O930,'Hoa-Don'!A:A,'Hoa-Don'!D:D)
&amp;"/view",
"🔎"
),
""
)</f>
        <v/>
      </c>
    </row>
    <row r="931" ht="22.5" customHeight="1">
      <c r="A931" s="21">
        <v>930.0</v>
      </c>
      <c r="B931" s="22">
        <v>44505.0</v>
      </c>
      <c r="C931" s="23">
        <v>477.0</v>
      </c>
      <c r="D931" s="24" t="s">
        <v>935</v>
      </c>
      <c r="E931" s="35" t="s">
        <v>18</v>
      </c>
      <c r="F931" s="26"/>
      <c r="G931" s="36" t="s">
        <v>42</v>
      </c>
      <c r="H931" s="28">
        <v>570.85</v>
      </c>
      <c r="I931" s="28">
        <v>17303.59853089537</v>
      </c>
      <c r="J931" s="29">
        <v>9877759.221361622</v>
      </c>
      <c r="K931" s="29">
        <v>17303.59853089537</v>
      </c>
      <c r="L931" s="30">
        <v>45753.03000000001</v>
      </c>
      <c r="M931" s="29">
        <v>7.916920626920121E8</v>
      </c>
      <c r="N931" s="31" t="s">
        <v>1042</v>
      </c>
      <c r="O931" s="32"/>
      <c r="P931" s="33" t="str">
        <f t="array" ref="P931">IFERROR(
HYPERLINK(
"https://drive.google.com/file/d/"&amp;
XLOOKUP(O931,'Hoa-Don'!A:A,'Hoa-Don'!D:D)
&amp;"/view",
"🔎"
),
""
)</f>
        <v/>
      </c>
    </row>
    <row r="932" ht="22.5" customHeight="1">
      <c r="A932" s="21">
        <v>931.0</v>
      </c>
      <c r="B932" s="22">
        <v>44506.0</v>
      </c>
      <c r="C932" s="23">
        <v>478.0</v>
      </c>
      <c r="D932" s="24" t="s">
        <v>130</v>
      </c>
      <c r="E932" s="35" t="s">
        <v>18</v>
      </c>
      <c r="F932" s="26"/>
      <c r="G932" s="36" t="s">
        <v>42</v>
      </c>
      <c r="H932" s="28">
        <v>120.0</v>
      </c>
      <c r="I932" s="28">
        <v>17303.59853089537</v>
      </c>
      <c r="J932" s="29">
        <v>2076431.8237074446</v>
      </c>
      <c r="K932" s="29">
        <v>17303.59853089537</v>
      </c>
      <c r="L932" s="30">
        <v>45633.03000000001</v>
      </c>
      <c r="M932" s="29">
        <v>7.896156308683046E8</v>
      </c>
      <c r="N932" s="31" t="s">
        <v>1043</v>
      </c>
      <c r="O932" s="32"/>
      <c r="P932" s="33" t="str">
        <f t="array" ref="P932">IFERROR(
HYPERLINK(
"https://drive.google.com/file/d/"&amp;
XLOOKUP(O932,'Hoa-Don'!A:A,'Hoa-Don'!D:D)
&amp;"/view",
"🔎"
),
""
)</f>
        <v/>
      </c>
    </row>
    <row r="933" ht="22.5" customHeight="1">
      <c r="A933" s="21">
        <v>932.0</v>
      </c>
      <c r="B933" s="22">
        <v>44510.0</v>
      </c>
      <c r="C933" s="23">
        <v>479.0</v>
      </c>
      <c r="D933" s="24" t="s">
        <v>935</v>
      </c>
      <c r="E933" s="35" t="s">
        <v>18</v>
      </c>
      <c r="F933" s="26"/>
      <c r="G933" s="36" t="s">
        <v>42</v>
      </c>
      <c r="H933" s="28">
        <v>6.34</v>
      </c>
      <c r="I933" s="28">
        <v>17303.59853089537</v>
      </c>
      <c r="J933" s="29">
        <v>109704.81468587666</v>
      </c>
      <c r="K933" s="29">
        <v>17303.59853089537</v>
      </c>
      <c r="L933" s="30">
        <v>45626.69000000002</v>
      </c>
      <c r="M933" s="29">
        <v>7.895059260536188E8</v>
      </c>
      <c r="N933" s="31" t="s">
        <v>1044</v>
      </c>
      <c r="O933" s="32"/>
      <c r="P933" s="33" t="str">
        <f t="array" ref="P933">IFERROR(
HYPERLINK(
"https://drive.google.com/file/d/"&amp;
XLOOKUP(O933,'Hoa-Don'!A:A,'Hoa-Don'!D:D)
&amp;"/view",
"🔎"
),
""
)</f>
        <v/>
      </c>
    </row>
    <row r="934" ht="22.5" customHeight="1">
      <c r="A934" s="21">
        <v>933.0</v>
      </c>
      <c r="B934" s="22">
        <v>44510.0</v>
      </c>
      <c r="C934" s="23">
        <v>479.0</v>
      </c>
      <c r="D934" s="24" t="s">
        <v>935</v>
      </c>
      <c r="E934" s="35" t="s">
        <v>18</v>
      </c>
      <c r="F934" s="26"/>
      <c r="G934" s="36" t="s">
        <v>42</v>
      </c>
      <c r="H934" s="28">
        <v>25.69</v>
      </c>
      <c r="I934" s="28">
        <v>17303.59853089537</v>
      </c>
      <c r="J934" s="29">
        <v>444529.44625870214</v>
      </c>
      <c r="K934" s="29">
        <v>17303.59853089537</v>
      </c>
      <c r="L934" s="30">
        <v>45601.000000000015</v>
      </c>
      <c r="M934" s="29">
        <v>7.890613966073601E8</v>
      </c>
      <c r="N934" s="31" t="s">
        <v>1045</v>
      </c>
      <c r="O934" s="32"/>
      <c r="P934" s="33" t="str">
        <f t="array" ref="P934">IFERROR(
HYPERLINK(
"https://drive.google.com/file/d/"&amp;
XLOOKUP(O934,'Hoa-Don'!A:A,'Hoa-Don'!D:D)
&amp;"/view",
"🔎"
),
""
)</f>
        <v/>
      </c>
    </row>
    <row r="935" ht="22.5" customHeight="1">
      <c r="A935" s="21">
        <v>934.0</v>
      </c>
      <c r="B935" s="22">
        <v>44510.0</v>
      </c>
      <c r="C935" s="23">
        <v>479.0</v>
      </c>
      <c r="D935" s="24" t="s">
        <v>935</v>
      </c>
      <c r="E935" s="35" t="s">
        <v>18</v>
      </c>
      <c r="F935" s="26"/>
      <c r="G935" s="36" t="s">
        <v>42</v>
      </c>
      <c r="H935" s="28">
        <v>2.77</v>
      </c>
      <c r="I935" s="28">
        <v>17303.59853089537</v>
      </c>
      <c r="J935" s="29">
        <v>47930.96793058018</v>
      </c>
      <c r="K935" s="29">
        <v>17303.59853089537</v>
      </c>
      <c r="L935" s="30">
        <v>45598.23000000002</v>
      </c>
      <c r="M935" s="29">
        <v>7.890134656394296E8</v>
      </c>
      <c r="N935" s="31" t="s">
        <v>1046</v>
      </c>
      <c r="O935" s="32"/>
      <c r="P935" s="33" t="str">
        <f t="array" ref="P935">IFERROR(
HYPERLINK(
"https://drive.google.com/file/d/"&amp;
XLOOKUP(O935,'Hoa-Don'!A:A,'Hoa-Don'!D:D)
&amp;"/view",
"🔎"
),
""
)</f>
        <v/>
      </c>
    </row>
    <row r="936" ht="22.5" customHeight="1">
      <c r="A936" s="21">
        <v>935.0</v>
      </c>
      <c r="B936" s="22">
        <v>44511.0</v>
      </c>
      <c r="C936" s="23">
        <v>480.0</v>
      </c>
      <c r="D936" s="24" t="s">
        <v>935</v>
      </c>
      <c r="E936" s="35" t="s">
        <v>18</v>
      </c>
      <c r="F936" s="26"/>
      <c r="G936" s="36" t="s">
        <v>42</v>
      </c>
      <c r="H936" s="28">
        <v>19.03</v>
      </c>
      <c r="I936" s="28">
        <v>17303.59853089537</v>
      </c>
      <c r="J936" s="29">
        <v>329287.48004293896</v>
      </c>
      <c r="K936" s="29">
        <v>17303.59853089537</v>
      </c>
      <c r="L936" s="30">
        <v>45579.20000000002</v>
      </c>
      <c r="M936" s="29">
        <v>7.886841781593866E8</v>
      </c>
      <c r="N936" s="31" t="s">
        <v>1047</v>
      </c>
      <c r="O936" s="32"/>
      <c r="P936" s="33" t="str">
        <f t="array" ref="P936">IFERROR(
HYPERLINK(
"https://drive.google.com/file/d/"&amp;
XLOOKUP(O936,'Hoa-Don'!A:A,'Hoa-Don'!D:D)
&amp;"/view",
"🔎"
),
""
)</f>
        <v/>
      </c>
    </row>
    <row r="937" ht="22.5" customHeight="1">
      <c r="A937" s="21">
        <v>936.0</v>
      </c>
      <c r="B937" s="22">
        <v>44511.0</v>
      </c>
      <c r="C937" s="23">
        <v>480.0</v>
      </c>
      <c r="D937" s="24" t="s">
        <v>935</v>
      </c>
      <c r="E937" s="35" t="s">
        <v>18</v>
      </c>
      <c r="F937" s="26"/>
      <c r="G937" s="36" t="s">
        <v>42</v>
      </c>
      <c r="H937" s="28">
        <v>2.33</v>
      </c>
      <c r="I937" s="28">
        <v>17303.59853089537</v>
      </c>
      <c r="J937" s="29">
        <v>40317.38457698622</v>
      </c>
      <c r="K937" s="29">
        <v>17303.59853089537</v>
      </c>
      <c r="L937" s="30">
        <v>45576.87000000002</v>
      </c>
      <c r="M937" s="29">
        <v>7.886438607748096E8</v>
      </c>
      <c r="N937" s="31" t="s">
        <v>1048</v>
      </c>
      <c r="O937" s="32"/>
      <c r="P937" s="33" t="str">
        <f t="array" ref="P937">IFERROR(
HYPERLINK(
"https://drive.google.com/file/d/"&amp;
XLOOKUP(O937,'Hoa-Don'!A:A,'Hoa-Don'!D:D)
&amp;"/view",
"🔎"
),
""
)</f>
        <v/>
      </c>
    </row>
    <row r="938" ht="22.5" customHeight="1">
      <c r="A938" s="21">
        <v>937.0</v>
      </c>
      <c r="B938" s="22">
        <v>44511.0</v>
      </c>
      <c r="C938" s="23">
        <v>480.0</v>
      </c>
      <c r="D938" s="24" t="s">
        <v>935</v>
      </c>
      <c r="E938" s="35" t="s">
        <v>18</v>
      </c>
      <c r="F938" s="26"/>
      <c r="G938" s="36" t="s">
        <v>42</v>
      </c>
      <c r="H938" s="28">
        <v>4.0</v>
      </c>
      <c r="I938" s="28">
        <v>17303.59853089537</v>
      </c>
      <c r="J938" s="29">
        <v>69214.39412358149</v>
      </c>
      <c r="K938" s="29">
        <v>17303.59853089537</v>
      </c>
      <c r="L938" s="30">
        <v>45572.87000000002</v>
      </c>
      <c r="M938" s="29">
        <v>7.88574646380686E8</v>
      </c>
      <c r="N938" s="31" t="s">
        <v>1049</v>
      </c>
      <c r="O938" s="32"/>
      <c r="P938" s="33" t="str">
        <f t="array" ref="P938">IFERROR(
HYPERLINK(
"https://drive.google.com/file/d/"&amp;
XLOOKUP(O938,'Hoa-Don'!A:A,'Hoa-Don'!D:D)
&amp;"/view",
"🔎"
),
""
)</f>
        <v/>
      </c>
    </row>
    <row r="939" ht="22.5" customHeight="1">
      <c r="A939" s="21">
        <v>938.0</v>
      </c>
      <c r="B939" s="22">
        <v>44511.0</v>
      </c>
      <c r="C939" s="23">
        <v>480.0</v>
      </c>
      <c r="D939" s="24" t="s">
        <v>935</v>
      </c>
      <c r="E939" s="35" t="s">
        <v>18</v>
      </c>
      <c r="F939" s="26"/>
      <c r="G939" s="36" t="s">
        <v>42</v>
      </c>
      <c r="H939" s="28">
        <v>4.76</v>
      </c>
      <c r="I939" s="28">
        <v>17303.59853089537</v>
      </c>
      <c r="J939" s="29">
        <v>82365.12900706196</v>
      </c>
      <c r="K939" s="29">
        <v>17303.59853089537</v>
      </c>
      <c r="L939" s="30">
        <v>45568.110000000015</v>
      </c>
      <c r="M939" s="29">
        <v>7.88492281251679E8</v>
      </c>
      <c r="N939" s="31" t="s">
        <v>1050</v>
      </c>
      <c r="O939" s="32"/>
      <c r="P939" s="33" t="str">
        <f t="array" ref="P939">IFERROR(
HYPERLINK(
"https://drive.google.com/file/d/"&amp;
XLOOKUP(O939,'Hoa-Don'!A:A,'Hoa-Don'!D:D)
&amp;"/view",
"🔎"
),
""
)</f>
        <v/>
      </c>
    </row>
    <row r="940" ht="22.5" customHeight="1">
      <c r="A940" s="21">
        <v>939.0</v>
      </c>
      <c r="B940" s="22">
        <v>44511.0</v>
      </c>
      <c r="C940" s="23">
        <v>480.0</v>
      </c>
      <c r="D940" s="24" t="s">
        <v>935</v>
      </c>
      <c r="E940" s="35" t="s">
        <v>18</v>
      </c>
      <c r="F940" s="26"/>
      <c r="G940" s="36" t="s">
        <v>42</v>
      </c>
      <c r="H940" s="28">
        <v>2.79</v>
      </c>
      <c r="I940" s="28">
        <v>17303.59853089537</v>
      </c>
      <c r="J940" s="29">
        <v>48277.039901198084</v>
      </c>
      <c r="K940" s="29">
        <v>17303.59853089537</v>
      </c>
      <c r="L940" s="30">
        <v>45565.320000000014</v>
      </c>
      <c r="M940" s="29">
        <v>7.884440042117777E8</v>
      </c>
      <c r="N940" s="31" t="s">
        <v>1051</v>
      </c>
      <c r="O940" s="32"/>
      <c r="P940" s="33" t="str">
        <f t="array" ref="P940">IFERROR(
HYPERLINK(
"https://drive.google.com/file/d/"&amp;
XLOOKUP(O940,'Hoa-Don'!A:A,'Hoa-Don'!D:D)
&amp;"/view",
"🔎"
),
""
)</f>
        <v/>
      </c>
    </row>
    <row r="941" ht="22.5" customHeight="1">
      <c r="A941" s="21">
        <v>940.0</v>
      </c>
      <c r="B941" s="22">
        <v>44512.0</v>
      </c>
      <c r="C941" s="23">
        <v>481.0</v>
      </c>
      <c r="D941" s="24" t="s">
        <v>935</v>
      </c>
      <c r="E941" s="35" t="s">
        <v>18</v>
      </c>
      <c r="F941" s="26"/>
      <c r="G941" s="36" t="s">
        <v>42</v>
      </c>
      <c r="H941" s="28">
        <v>14.98</v>
      </c>
      <c r="I941" s="28">
        <v>17303.59853089537</v>
      </c>
      <c r="J941" s="29">
        <v>259207.90599281268</v>
      </c>
      <c r="K941" s="29">
        <v>17303.59853089537</v>
      </c>
      <c r="L941" s="30">
        <v>45550.34000000001</v>
      </c>
      <c r="M941" s="29">
        <v>7.881847963057848E8</v>
      </c>
      <c r="N941" s="31" t="s">
        <v>1052</v>
      </c>
      <c r="O941" s="32"/>
      <c r="P941" s="33" t="str">
        <f t="array" ref="P941">IFERROR(
HYPERLINK(
"https://drive.google.com/file/d/"&amp;
XLOOKUP(O941,'Hoa-Don'!A:A,'Hoa-Don'!D:D)
&amp;"/view",
"🔎"
),
""
)</f>
        <v/>
      </c>
    </row>
    <row r="942" ht="22.5" customHeight="1">
      <c r="A942" s="21">
        <v>941.0</v>
      </c>
      <c r="B942" s="22">
        <v>44512.0</v>
      </c>
      <c r="C942" s="23">
        <v>481.0</v>
      </c>
      <c r="D942" s="24" t="s">
        <v>935</v>
      </c>
      <c r="E942" s="35" t="s">
        <v>18</v>
      </c>
      <c r="F942" s="26"/>
      <c r="G942" s="36" t="s">
        <v>42</v>
      </c>
      <c r="H942" s="28">
        <v>7.53</v>
      </c>
      <c r="I942" s="28">
        <v>17303.59853089537</v>
      </c>
      <c r="J942" s="29">
        <v>130296.09693764216</v>
      </c>
      <c r="K942" s="29">
        <v>17303.59853089537</v>
      </c>
      <c r="L942" s="30">
        <v>45542.81000000001</v>
      </c>
      <c r="M942" s="29">
        <v>7.880545002088473E8</v>
      </c>
      <c r="N942" s="31" t="s">
        <v>1053</v>
      </c>
      <c r="O942" s="32"/>
      <c r="P942" s="33" t="str">
        <f t="array" ref="P942">IFERROR(
HYPERLINK(
"https://drive.google.com/file/d/"&amp;
XLOOKUP(O942,'Hoa-Don'!A:A,'Hoa-Don'!D:D)
&amp;"/view",
"🔎"
),
""
)</f>
        <v/>
      </c>
    </row>
    <row r="943" ht="22.5" customHeight="1">
      <c r="A943" s="21">
        <v>942.0</v>
      </c>
      <c r="B943" s="22">
        <v>44512.0</v>
      </c>
      <c r="C943" s="23">
        <v>481.0</v>
      </c>
      <c r="D943" s="24" t="s">
        <v>935</v>
      </c>
      <c r="E943" s="35" t="s">
        <v>18</v>
      </c>
      <c r="F943" s="26"/>
      <c r="G943" s="36" t="s">
        <v>42</v>
      </c>
      <c r="H943" s="28">
        <v>7.14</v>
      </c>
      <c r="I943" s="28">
        <v>17303.59853089537</v>
      </c>
      <c r="J943" s="29">
        <v>123547.69351059294</v>
      </c>
      <c r="K943" s="29">
        <v>17303.59853089537</v>
      </c>
      <c r="L943" s="30">
        <v>45535.67000000001</v>
      </c>
      <c r="M943" s="29">
        <v>7.879309525153366E8</v>
      </c>
      <c r="N943" s="31" t="s">
        <v>1054</v>
      </c>
      <c r="O943" s="32"/>
      <c r="P943" s="33" t="str">
        <f t="array" ref="P943">IFERROR(
HYPERLINK(
"https://drive.google.com/file/d/"&amp;
XLOOKUP(O943,'Hoa-Don'!A:A,'Hoa-Don'!D:D)
&amp;"/view",
"🔎"
),
""
)</f>
        <v/>
      </c>
    </row>
    <row r="944" ht="22.5" customHeight="1">
      <c r="A944" s="21">
        <v>943.0</v>
      </c>
      <c r="B944" s="22">
        <v>44512.0</v>
      </c>
      <c r="C944" s="23">
        <v>481.0</v>
      </c>
      <c r="D944" s="24" t="s">
        <v>935</v>
      </c>
      <c r="E944" s="35" t="s">
        <v>18</v>
      </c>
      <c r="F944" s="26"/>
      <c r="G944" s="36" t="s">
        <v>42</v>
      </c>
      <c r="H944" s="28">
        <v>7.61</v>
      </c>
      <c r="I944" s="28">
        <v>17303.59853089537</v>
      </c>
      <c r="J944" s="29">
        <v>131680.38482011377</v>
      </c>
      <c r="K944" s="29">
        <v>17303.59853089537</v>
      </c>
      <c r="L944" s="30">
        <v>45528.06000000001</v>
      </c>
      <c r="M944" s="29">
        <v>7.877992721305165E8</v>
      </c>
      <c r="N944" s="31" t="s">
        <v>1055</v>
      </c>
      <c r="O944" s="32"/>
      <c r="P944" s="33" t="str">
        <f t="array" ref="P944">IFERROR(
HYPERLINK(
"https://drive.google.com/file/d/"&amp;
XLOOKUP(O944,'Hoa-Don'!A:A,'Hoa-Don'!D:D)
&amp;"/view",
"🔎"
),
""
)</f>
        <v/>
      </c>
    </row>
    <row r="945" ht="22.5" customHeight="1">
      <c r="A945" s="21">
        <v>944.0</v>
      </c>
      <c r="B945" s="22">
        <v>44520.0</v>
      </c>
      <c r="C945" s="23">
        <v>1237.0</v>
      </c>
      <c r="D945" s="24" t="s">
        <v>821</v>
      </c>
      <c r="E945" s="25" t="s">
        <v>11</v>
      </c>
      <c r="F945" s="26"/>
      <c r="G945" s="27" t="s">
        <v>38</v>
      </c>
      <c r="H945" s="28">
        <v>5500.0</v>
      </c>
      <c r="I945" s="28">
        <v>21454.55</v>
      </c>
      <c r="J945" s="29">
        <v>1.18000025E8</v>
      </c>
      <c r="K945" s="29">
        <v>14701.303762283505</v>
      </c>
      <c r="L945" s="30">
        <v>37030.41999999999</v>
      </c>
      <c r="M945" s="29">
        <v>5.443954528649383E8</v>
      </c>
      <c r="N945" s="31" t="s">
        <v>1056</v>
      </c>
      <c r="O945" s="32"/>
      <c r="P945" s="33" t="str">
        <f t="array" ref="P945">IFERROR(
HYPERLINK(
"https://drive.google.com/file/d/"&amp;
XLOOKUP(O945,'Hoa-Don'!A:A,'Hoa-Don'!D:D)
&amp;"/view",
"🔎"
),
""
)</f>
        <v/>
      </c>
    </row>
    <row r="946" ht="22.5" customHeight="1">
      <c r="A946" s="21">
        <v>945.0</v>
      </c>
      <c r="B946" s="22">
        <v>44522.0</v>
      </c>
      <c r="C946" s="23">
        <v>482.0</v>
      </c>
      <c r="D946" s="24" t="s">
        <v>1057</v>
      </c>
      <c r="E946" s="25" t="s">
        <v>11</v>
      </c>
      <c r="F946" s="26"/>
      <c r="G946" s="36" t="s">
        <v>42</v>
      </c>
      <c r="H946" s="28">
        <v>4201.5</v>
      </c>
      <c r="I946" s="28">
        <v>14701.303762283505</v>
      </c>
      <c r="J946" s="29">
        <v>6.176752775723415E7</v>
      </c>
      <c r="K946" s="29">
        <v>14701.303762283505</v>
      </c>
      <c r="L946" s="30">
        <v>32828.91999999999</v>
      </c>
      <c r="M946" s="29">
        <v>4.826279251077041E8</v>
      </c>
      <c r="N946" s="31" t="s">
        <v>1058</v>
      </c>
      <c r="O946" s="32"/>
      <c r="P946" s="33" t="str">
        <f t="array" ref="P946">IFERROR(
HYPERLINK(
"https://drive.google.com/file/d/"&amp;
XLOOKUP(O946,'Hoa-Don'!A:A,'Hoa-Don'!D:D)
&amp;"/view",
"🔎"
),
""
)</f>
        <v/>
      </c>
    </row>
    <row r="947" ht="22.5" customHeight="1">
      <c r="A947" s="21">
        <v>946.0</v>
      </c>
      <c r="B947" s="22">
        <v>44530.0</v>
      </c>
      <c r="C947" s="23">
        <v>483.0</v>
      </c>
      <c r="D947" s="24" t="s">
        <v>130</v>
      </c>
      <c r="E947" s="35" t="s">
        <v>18</v>
      </c>
      <c r="F947" s="26"/>
      <c r="G947" s="36" t="s">
        <v>42</v>
      </c>
      <c r="H947" s="28">
        <v>100.0</v>
      </c>
      <c r="I947" s="28">
        <v>17303.59853089537</v>
      </c>
      <c r="J947" s="29">
        <v>1730359.8530895372</v>
      </c>
      <c r="K947" s="29">
        <v>17303.59853089537</v>
      </c>
      <c r="L947" s="30">
        <v>45428.06000000001</v>
      </c>
      <c r="M947" s="29">
        <v>7.86068912277427E8</v>
      </c>
      <c r="N947" s="31" t="s">
        <v>1059</v>
      </c>
      <c r="O947" s="32"/>
      <c r="P947" s="33" t="str">
        <f t="array" ref="P947">IFERROR(
HYPERLINK(
"https://drive.google.com/file/d/"&amp;
XLOOKUP(O947,'Hoa-Don'!A:A,'Hoa-Don'!D:D)
&amp;"/view",
"🔎"
),
""
)</f>
        <v/>
      </c>
    </row>
    <row r="948" ht="22.5" customHeight="1">
      <c r="A948" s="21">
        <v>947.0</v>
      </c>
      <c r="B948" s="22">
        <v>44538.0</v>
      </c>
      <c r="C948" s="23">
        <v>485.0</v>
      </c>
      <c r="D948" s="24" t="s">
        <v>845</v>
      </c>
      <c r="E948" s="35" t="s">
        <v>18</v>
      </c>
      <c r="F948" s="26"/>
      <c r="G948" s="36" t="s">
        <v>42</v>
      </c>
      <c r="H948" s="28">
        <v>700.0</v>
      </c>
      <c r="I948" s="28">
        <v>17303.59853089537</v>
      </c>
      <c r="J948" s="29">
        <v>1.211251897162676E7</v>
      </c>
      <c r="K948" s="29">
        <v>17303.59853089537</v>
      </c>
      <c r="L948" s="30">
        <v>44728.06000000001</v>
      </c>
      <c r="M948" s="29">
        <v>7.739563933058002E8</v>
      </c>
      <c r="N948" s="31" t="s">
        <v>1060</v>
      </c>
      <c r="O948" s="32"/>
      <c r="P948" s="33" t="str">
        <f t="array" ref="P948">IFERROR(
HYPERLINK(
"https://drive.google.com/file/d/"&amp;
XLOOKUP(O948,'Hoa-Don'!A:A,'Hoa-Don'!D:D)
&amp;"/view",
"🔎"
),
""
)</f>
        <v/>
      </c>
    </row>
    <row r="949" ht="22.5" customHeight="1">
      <c r="A949" s="21">
        <v>948.0</v>
      </c>
      <c r="B949" s="22">
        <v>44538.0</v>
      </c>
      <c r="C949" s="23">
        <v>485.0</v>
      </c>
      <c r="D949" s="24" t="s">
        <v>845</v>
      </c>
      <c r="E949" s="35" t="s">
        <v>18</v>
      </c>
      <c r="F949" s="26"/>
      <c r="G949" s="36" t="s">
        <v>42</v>
      </c>
      <c r="H949" s="28">
        <v>45.0</v>
      </c>
      <c r="I949" s="28">
        <v>17303.59853089537</v>
      </c>
      <c r="J949" s="29">
        <v>778661.9338902917</v>
      </c>
      <c r="K949" s="29">
        <v>17303.59853089537</v>
      </c>
      <c r="L949" s="30">
        <v>44683.06000000001</v>
      </c>
      <c r="M949" s="29">
        <v>7.7317773137191E8</v>
      </c>
      <c r="N949" s="31" t="s">
        <v>1061</v>
      </c>
      <c r="O949" s="32"/>
      <c r="P949" s="33" t="str">
        <f t="array" ref="P949">IFERROR(
HYPERLINK(
"https://drive.google.com/file/d/"&amp;
XLOOKUP(O949,'Hoa-Don'!A:A,'Hoa-Don'!D:D)
&amp;"/view",
"🔎"
),
""
)</f>
        <v/>
      </c>
    </row>
    <row r="950" ht="22.5" customHeight="1">
      <c r="A950" s="21">
        <v>949.0</v>
      </c>
      <c r="B950" s="22">
        <v>44539.0</v>
      </c>
      <c r="C950" s="23">
        <v>486.0</v>
      </c>
      <c r="D950" s="24" t="s">
        <v>845</v>
      </c>
      <c r="E950" s="35" t="s">
        <v>18</v>
      </c>
      <c r="F950" s="26"/>
      <c r="G950" s="36" t="s">
        <v>42</v>
      </c>
      <c r="H950" s="28">
        <v>678.0</v>
      </c>
      <c r="I950" s="28">
        <v>17303.59853089537</v>
      </c>
      <c r="J950" s="29">
        <v>1.1731839803947061E7</v>
      </c>
      <c r="K950" s="29">
        <v>17303.59853089537</v>
      </c>
      <c r="L950" s="30">
        <v>44005.06000000001</v>
      </c>
      <c r="M950" s="29">
        <v>7.614458915679629E8</v>
      </c>
      <c r="N950" s="31" t="s">
        <v>1062</v>
      </c>
      <c r="O950" s="32"/>
      <c r="P950" s="33" t="str">
        <f t="array" ref="P950">IFERROR(
HYPERLINK(
"https://drive.google.com/file/d/"&amp;
XLOOKUP(O950,'Hoa-Don'!A:A,'Hoa-Don'!D:D)
&amp;"/view",
"🔎"
),
""
)</f>
        <v/>
      </c>
    </row>
    <row r="951" ht="22.5" customHeight="1">
      <c r="A951" s="21">
        <v>950.0</v>
      </c>
      <c r="B951" s="22">
        <v>44561.0</v>
      </c>
      <c r="C951" s="23">
        <v>487.0</v>
      </c>
      <c r="D951" s="24" t="s">
        <v>130</v>
      </c>
      <c r="E951" s="35" t="s">
        <v>18</v>
      </c>
      <c r="F951" s="26"/>
      <c r="G951" s="36" t="s">
        <v>42</v>
      </c>
      <c r="H951" s="28">
        <v>98.0</v>
      </c>
      <c r="I951" s="28">
        <v>17303.59853089537</v>
      </c>
      <c r="J951" s="29">
        <v>1695752.6560277464</v>
      </c>
      <c r="K951" s="29">
        <v>17303.59853089537</v>
      </c>
      <c r="L951" s="30">
        <v>43907.06000000001</v>
      </c>
      <c r="M951" s="29">
        <v>7.597501389119351E8</v>
      </c>
      <c r="N951" s="31" t="s">
        <v>1063</v>
      </c>
      <c r="O951" s="32"/>
      <c r="P951" s="33" t="str">
        <f t="array" ref="P951">IFERROR(
HYPERLINK(
"https://drive.google.com/file/d/"&amp;
XLOOKUP(O951,'Hoa-Don'!A:A,'Hoa-Don'!D:D)
&amp;"/view",
"🔎"
),
""
)</f>
        <v/>
      </c>
    </row>
    <row r="952" ht="22.5" customHeight="1">
      <c r="A952" s="21">
        <v>951.0</v>
      </c>
      <c r="B952" s="22">
        <v>44576.0</v>
      </c>
      <c r="C952" s="23">
        <v>37.0</v>
      </c>
      <c r="D952" s="24" t="s">
        <v>253</v>
      </c>
      <c r="E952" s="35" t="s">
        <v>18</v>
      </c>
      <c r="F952" s="26"/>
      <c r="G952" s="27" t="s">
        <v>38</v>
      </c>
      <c r="H952" s="28">
        <v>2684.0</v>
      </c>
      <c r="I952" s="28">
        <v>18363.64</v>
      </c>
      <c r="J952" s="29">
        <v>4.928800976E7</v>
      </c>
      <c r="K952" s="29">
        <v>17364.66499521442</v>
      </c>
      <c r="L952" s="30">
        <v>46591.06000000001</v>
      </c>
      <c r="M952" s="29">
        <v>8.090381486719351E8</v>
      </c>
      <c r="N952" s="31" t="s">
        <v>1064</v>
      </c>
      <c r="O952" s="32"/>
      <c r="P952" s="33" t="str">
        <f t="array" ref="P952">IFERROR(
HYPERLINK(
"https://drive.google.com/file/d/"&amp;
XLOOKUP(O952,'Hoa-Don'!A:A,'Hoa-Don'!D:D)
&amp;"/view",
"🔎"
),
""
)</f>
        <v/>
      </c>
    </row>
    <row r="953" ht="22.5" customHeight="1">
      <c r="A953" s="21">
        <v>952.0</v>
      </c>
      <c r="B953" s="22">
        <v>44578.0</v>
      </c>
      <c r="C953" s="23">
        <v>6.0</v>
      </c>
      <c r="D953" s="24" t="s">
        <v>950</v>
      </c>
      <c r="E953" s="35" t="s">
        <v>18</v>
      </c>
      <c r="F953" s="26"/>
      <c r="G953" s="27" t="s">
        <v>38</v>
      </c>
      <c r="H953" s="28">
        <v>12530.0</v>
      </c>
      <c r="I953" s="28">
        <v>17454.55</v>
      </c>
      <c r="J953" s="29">
        <v>2.187055115E8</v>
      </c>
      <c r="K953" s="29">
        <v>17383.715044553242</v>
      </c>
      <c r="L953" s="30">
        <v>59121.06000000001</v>
      </c>
      <c r="M953" s="29">
        <v>1.0277436601719351E9</v>
      </c>
      <c r="N953" s="31" t="s">
        <v>1065</v>
      </c>
      <c r="O953" s="32"/>
      <c r="P953" s="33" t="str">
        <f t="array" ref="P953">IFERROR(
HYPERLINK(
"https://drive.google.com/file/d/"&amp;
XLOOKUP(O953,'Hoa-Don'!A:A,'Hoa-Don'!D:D)
&amp;"/view",
"🔎"
),
""
)</f>
        <v/>
      </c>
    </row>
    <row r="954" ht="22.5" customHeight="1">
      <c r="A954" s="21">
        <v>953.0</v>
      </c>
      <c r="B954" s="22">
        <v>44578.0</v>
      </c>
      <c r="C954" s="23">
        <v>6.0</v>
      </c>
      <c r="D954" s="24" t="s">
        <v>950</v>
      </c>
      <c r="E954" s="35" t="s">
        <v>18</v>
      </c>
      <c r="F954" s="26"/>
      <c r="G954" s="27" t="s">
        <v>38</v>
      </c>
      <c r="H954" s="28">
        <v>1876.0</v>
      </c>
      <c r="I954" s="28">
        <v>16181.82</v>
      </c>
      <c r="J954" s="29">
        <v>3.035709432E7</v>
      </c>
      <c r="K954" s="29">
        <v>17346.750064543026</v>
      </c>
      <c r="L954" s="30">
        <v>60997.06000000001</v>
      </c>
      <c r="M954" s="29">
        <v>1.0581007544919351E9</v>
      </c>
      <c r="N954" s="31" t="s">
        <v>1066</v>
      </c>
      <c r="O954" s="32"/>
      <c r="P954" s="33" t="str">
        <f t="array" ref="P954">IFERROR(
HYPERLINK(
"https://drive.google.com/file/d/"&amp;
XLOOKUP(O954,'Hoa-Don'!A:A,'Hoa-Don'!D:D)
&amp;"/view",
"🔎"
),
""
)</f>
        <v/>
      </c>
    </row>
    <row r="955" ht="22.5" customHeight="1">
      <c r="A955" s="21">
        <v>954.0</v>
      </c>
      <c r="B955" s="22">
        <v>44578.0</v>
      </c>
      <c r="C955" s="23">
        <v>1454.0</v>
      </c>
      <c r="D955" s="24" t="s">
        <v>821</v>
      </c>
      <c r="E955" s="25" t="s">
        <v>11</v>
      </c>
      <c r="F955" s="26"/>
      <c r="G955" s="27" t="s">
        <v>38</v>
      </c>
      <c r="H955" s="28">
        <v>1557.0</v>
      </c>
      <c r="I955" s="28">
        <v>20818.18</v>
      </c>
      <c r="J955" s="29">
        <v>3.241390626E7</v>
      </c>
      <c r="K955" s="29">
        <v>14978.276904259192</v>
      </c>
      <c r="L955" s="30">
        <v>34385.91999999999</v>
      </c>
      <c r="M955" s="29">
        <v>5.150418313677041E8</v>
      </c>
      <c r="N955" s="31" t="s">
        <v>1067</v>
      </c>
      <c r="O955" s="32"/>
      <c r="P955" s="33" t="str">
        <f t="array" ref="P955">IFERROR(
HYPERLINK(
"https://drive.google.com/file/d/"&amp;
XLOOKUP(O955,'Hoa-Don'!A:A,'Hoa-Don'!D:D)
&amp;"/view",
"🔎"
),
""
)</f>
        <v/>
      </c>
    </row>
    <row r="956" ht="22.5" customHeight="1">
      <c r="A956" s="21">
        <v>955.0</v>
      </c>
      <c r="B956" s="22">
        <v>44582.0</v>
      </c>
      <c r="C956" s="23">
        <v>1457.0</v>
      </c>
      <c r="D956" s="24" t="s">
        <v>821</v>
      </c>
      <c r="E956" s="25" t="s">
        <v>11</v>
      </c>
      <c r="F956" s="26"/>
      <c r="G956" s="27" t="s">
        <v>38</v>
      </c>
      <c r="H956" s="28">
        <v>444.0</v>
      </c>
      <c r="I956" s="28">
        <v>20636.36</v>
      </c>
      <c r="J956" s="29">
        <v>9162543.84</v>
      </c>
      <c r="K956" s="29">
        <v>15050.404227391398</v>
      </c>
      <c r="L956" s="30">
        <v>34829.91999999999</v>
      </c>
      <c r="M956" s="29">
        <v>5.2420437520770407E8</v>
      </c>
      <c r="N956" s="31" t="s">
        <v>1068</v>
      </c>
      <c r="O956" s="32"/>
      <c r="P956" s="33" t="str">
        <f t="array" ref="P956">IFERROR(
HYPERLINK(
"https://drive.google.com/file/d/"&amp;
XLOOKUP(O956,'Hoa-Don'!A:A,'Hoa-Don'!D:D)
&amp;"/view",
"🔎"
),
""
)</f>
        <v/>
      </c>
    </row>
    <row r="957" ht="22.5" customHeight="1">
      <c r="A957" s="21">
        <v>956.0</v>
      </c>
      <c r="B957" s="22">
        <v>44592.0</v>
      </c>
      <c r="C957" s="23">
        <v>488.0</v>
      </c>
      <c r="D957" s="24" t="s">
        <v>130</v>
      </c>
      <c r="E957" s="35" t="s">
        <v>18</v>
      </c>
      <c r="F957" s="26"/>
      <c r="G957" s="36" t="s">
        <v>42</v>
      </c>
      <c r="H957" s="28">
        <v>105.0</v>
      </c>
      <c r="I957" s="28">
        <v>17346.750064543026</v>
      </c>
      <c r="J957" s="29">
        <v>1821408.7567770178</v>
      </c>
      <c r="K957" s="29">
        <v>17346.750064543026</v>
      </c>
      <c r="L957" s="30">
        <v>60892.06000000001</v>
      </c>
      <c r="M957" s="29">
        <v>1.0562793457351581E9</v>
      </c>
      <c r="N957" s="31" t="s">
        <v>1069</v>
      </c>
      <c r="O957" s="32"/>
      <c r="P957" s="33" t="str">
        <f t="array" ref="P957">IFERROR(
HYPERLINK(
"https://drive.google.com/file/d/"&amp;
XLOOKUP(O957,'Hoa-Don'!A:A,'Hoa-Don'!D:D)
&amp;"/view",
"🔎"
),
""
)</f>
        <v/>
      </c>
    </row>
    <row r="958" ht="22.5" customHeight="1">
      <c r="A958" s="21">
        <v>957.0</v>
      </c>
      <c r="B958" s="22">
        <v>44607.0</v>
      </c>
      <c r="C958" s="23">
        <v>1475.0</v>
      </c>
      <c r="D958" s="24" t="s">
        <v>821</v>
      </c>
      <c r="E958" s="25" t="s">
        <v>11</v>
      </c>
      <c r="F958" s="26"/>
      <c r="G958" s="27" t="s">
        <v>38</v>
      </c>
      <c r="H958" s="28">
        <v>2064.0</v>
      </c>
      <c r="I958" s="28">
        <v>20727.27</v>
      </c>
      <c r="J958" s="29">
        <v>4.278108528E7</v>
      </c>
      <c r="K958" s="29">
        <v>15367.991812409855</v>
      </c>
      <c r="L958" s="30">
        <v>36893.91999999999</v>
      </c>
      <c r="M958" s="29">
        <v>5.66985460487704E8</v>
      </c>
      <c r="N958" s="31" t="s">
        <v>1070</v>
      </c>
      <c r="O958" s="32"/>
      <c r="P958" s="33" t="str">
        <f t="array" ref="P958">IFERROR(
HYPERLINK(
"https://drive.google.com/file/d/"&amp;
XLOOKUP(O958,'Hoa-Don'!A:A,'Hoa-Don'!D:D)
&amp;"/view",
"🔎"
),
""
)</f>
        <v/>
      </c>
    </row>
    <row r="959" ht="22.5" customHeight="1">
      <c r="A959" s="21">
        <v>958.0</v>
      </c>
      <c r="B959" s="22">
        <v>44620.0</v>
      </c>
      <c r="C959" s="23">
        <v>489.0</v>
      </c>
      <c r="D959" s="24" t="s">
        <v>130</v>
      </c>
      <c r="E959" s="25" t="s">
        <v>11</v>
      </c>
      <c r="F959" s="26"/>
      <c r="G959" s="36" t="s">
        <v>42</v>
      </c>
      <c r="H959" s="28">
        <v>100.0</v>
      </c>
      <c r="I959" s="28">
        <v>15367.991812409855</v>
      </c>
      <c r="J959" s="29">
        <v>1536799.1812409854</v>
      </c>
      <c r="K959" s="29">
        <v>15367.991812409855</v>
      </c>
      <c r="L959" s="30">
        <v>36793.91999999999</v>
      </c>
      <c r="M959" s="29">
        <v>5.654486613064631E8</v>
      </c>
      <c r="N959" s="31" t="s">
        <v>1071</v>
      </c>
      <c r="O959" s="32"/>
      <c r="P959" s="33" t="str">
        <f t="array" ref="P959">IFERROR(
HYPERLINK(
"https://drive.google.com/file/d/"&amp;
XLOOKUP(O959,'Hoa-Don'!A:A,'Hoa-Don'!D:D)
&amp;"/view",
"🔎"
),
""
)</f>
        <v/>
      </c>
    </row>
    <row r="960" ht="22.5" customHeight="1">
      <c r="A960" s="21">
        <v>959.0</v>
      </c>
      <c r="B960" s="22">
        <v>44627.0</v>
      </c>
      <c r="C960" s="23">
        <v>1523.0</v>
      </c>
      <c r="D960" s="24" t="s">
        <v>821</v>
      </c>
      <c r="E960" s="25" t="s">
        <v>11</v>
      </c>
      <c r="F960" s="26"/>
      <c r="G960" s="27" t="s">
        <v>38</v>
      </c>
      <c r="H960" s="28">
        <v>7475.0</v>
      </c>
      <c r="I960" s="28">
        <v>20909.09</v>
      </c>
      <c r="J960" s="29">
        <v>1.5629544775E8</v>
      </c>
      <c r="K960" s="29">
        <v>16303.630381235034</v>
      </c>
      <c r="L960" s="30">
        <v>44268.91999999999</v>
      </c>
      <c r="M960" s="29">
        <v>7.217441090564631E8</v>
      </c>
      <c r="N960" s="31" t="s">
        <v>1072</v>
      </c>
      <c r="O960" s="32"/>
      <c r="P960" s="33" t="str">
        <f t="array" ref="P960">IFERROR(
HYPERLINK(
"https://drive.google.com/file/d/"&amp;
XLOOKUP(O960,'Hoa-Don'!A:A,'Hoa-Don'!D:D)
&amp;"/view",
"🔎"
),
""
)</f>
        <v/>
      </c>
    </row>
    <row r="961" ht="22.5" customHeight="1">
      <c r="A961" s="21">
        <v>960.0</v>
      </c>
      <c r="B961" s="22">
        <v>44641.0</v>
      </c>
      <c r="C961" s="23">
        <v>490.0</v>
      </c>
      <c r="D961" s="24" t="s">
        <v>864</v>
      </c>
      <c r="E961" s="35" t="s">
        <v>18</v>
      </c>
      <c r="F961" s="26"/>
      <c r="G961" s="36" t="s">
        <v>42</v>
      </c>
      <c r="H961" s="28">
        <v>1132.0</v>
      </c>
      <c r="I961" s="28">
        <v>17346.750064543026</v>
      </c>
      <c r="J961" s="29">
        <v>1.9636521073062707E7</v>
      </c>
      <c r="K961" s="29">
        <v>17346.750064543026</v>
      </c>
      <c r="L961" s="30">
        <v>59760.06000000001</v>
      </c>
      <c r="M961" s="29">
        <v>1.0366428246620953E9</v>
      </c>
      <c r="N961" s="31" t="s">
        <v>1073</v>
      </c>
      <c r="O961" s="32"/>
      <c r="P961" s="33" t="str">
        <f t="array" ref="P961">IFERROR(
HYPERLINK(
"https://drive.google.com/file/d/"&amp;
XLOOKUP(O961,'Hoa-Don'!A:A,'Hoa-Don'!D:D)
&amp;"/view",
"🔎"
),
""
)</f>
        <v/>
      </c>
    </row>
    <row r="962" ht="22.5" customHeight="1">
      <c r="A962" s="21">
        <v>961.0</v>
      </c>
      <c r="B962" s="22">
        <v>44642.0</v>
      </c>
      <c r="C962" s="23">
        <v>491.0</v>
      </c>
      <c r="D962" s="24" t="s">
        <v>130</v>
      </c>
      <c r="E962" s="38" t="s">
        <v>22</v>
      </c>
      <c r="F962" s="26"/>
      <c r="G962" s="36" t="s">
        <v>42</v>
      </c>
      <c r="H962" s="28">
        <v>85.0</v>
      </c>
      <c r="I962" s="28">
        <v>16727.0</v>
      </c>
      <c r="J962" s="29">
        <v>1421795.0</v>
      </c>
      <c r="K962" s="29">
        <v>16727.0</v>
      </c>
      <c r="L962" s="30">
        <v>2767.0</v>
      </c>
      <c r="M962" s="29">
        <v>4.6283609E7</v>
      </c>
      <c r="N962" s="31" t="s">
        <v>1074</v>
      </c>
      <c r="O962" s="32"/>
      <c r="P962" s="33" t="str">
        <f t="array" ref="P962">IFERROR(
HYPERLINK(
"https://drive.google.com/file/d/"&amp;
XLOOKUP(O962,'Hoa-Don'!A:A,'Hoa-Don'!D:D)
&amp;"/view",
"🔎"
),
""
)</f>
        <v/>
      </c>
    </row>
    <row r="963" ht="22.5" customHeight="1">
      <c r="A963" s="21">
        <v>962.0</v>
      </c>
      <c r="B963" s="22">
        <v>44643.0</v>
      </c>
      <c r="C963" s="23">
        <v>492.0</v>
      </c>
      <c r="D963" s="24" t="s">
        <v>864</v>
      </c>
      <c r="E963" s="25" t="s">
        <v>11</v>
      </c>
      <c r="F963" s="26"/>
      <c r="G963" s="36" t="s">
        <v>42</v>
      </c>
      <c r="H963" s="28">
        <v>6178.5</v>
      </c>
      <c r="I963" s="28">
        <v>16303.630381235034</v>
      </c>
      <c r="J963" s="29">
        <v>1.0073198031046066E8</v>
      </c>
      <c r="K963" s="29">
        <v>16303.630381235034</v>
      </c>
      <c r="L963" s="30">
        <v>38090.41999999999</v>
      </c>
      <c r="M963" s="29">
        <v>6.210121287460024E8</v>
      </c>
      <c r="N963" s="31" t="s">
        <v>1075</v>
      </c>
      <c r="O963" s="32"/>
      <c r="P963" s="33" t="str">
        <f t="array" ref="P963">IFERROR(
HYPERLINK(
"https://drive.google.com/file/d/"&amp;
XLOOKUP(O963,'Hoa-Don'!A:A,'Hoa-Don'!D:D)
&amp;"/view",
"🔎"
),
""
)</f>
        <v/>
      </c>
    </row>
    <row r="964" ht="22.5" customHeight="1">
      <c r="A964" s="21">
        <v>963.0</v>
      </c>
      <c r="B964" s="22">
        <v>44643.0</v>
      </c>
      <c r="C964" s="23">
        <v>492.0</v>
      </c>
      <c r="D964" s="24" t="s">
        <v>864</v>
      </c>
      <c r="E964" s="35" t="s">
        <v>18</v>
      </c>
      <c r="F964" s="26"/>
      <c r="G964" s="36" t="s">
        <v>42</v>
      </c>
      <c r="H964" s="28">
        <v>5493.0</v>
      </c>
      <c r="I964" s="28">
        <v>17346.750064543026</v>
      </c>
      <c r="J964" s="29">
        <v>9.528569810453485E7</v>
      </c>
      <c r="K964" s="29">
        <v>17346.750064543026</v>
      </c>
      <c r="L964" s="30">
        <v>54267.06000000001</v>
      </c>
      <c r="M964" s="29">
        <v>9.413571265575604E8</v>
      </c>
      <c r="N964" s="31" t="s">
        <v>1076</v>
      </c>
      <c r="O964" s="32"/>
      <c r="P964" s="33" t="str">
        <f t="array" ref="P964">IFERROR(
HYPERLINK(
"https://drive.google.com/file/d/"&amp;
XLOOKUP(O964,'Hoa-Don'!A:A,'Hoa-Don'!D:D)
&amp;"/view",
"🔎"
),
""
)</f>
        <v/>
      </c>
    </row>
    <row r="965" ht="22.5" customHeight="1">
      <c r="A965" s="21">
        <v>964.0</v>
      </c>
      <c r="B965" s="22">
        <v>44648.0</v>
      </c>
      <c r="C965" s="23">
        <v>493.0</v>
      </c>
      <c r="D965" s="24" t="s">
        <v>845</v>
      </c>
      <c r="E965" s="35" t="s">
        <v>18</v>
      </c>
      <c r="F965" s="26"/>
      <c r="G965" s="36" t="s">
        <v>42</v>
      </c>
      <c r="H965" s="28">
        <v>800.0</v>
      </c>
      <c r="I965" s="28">
        <v>17346.750064543026</v>
      </c>
      <c r="J965" s="29">
        <v>1.3877400051634422E7</v>
      </c>
      <c r="K965" s="29">
        <v>17346.750064543026</v>
      </c>
      <c r="L965" s="30">
        <v>53467.06000000001</v>
      </c>
      <c r="M965" s="29">
        <v>9.274797265059261E8</v>
      </c>
      <c r="N965" s="31" t="s">
        <v>1077</v>
      </c>
      <c r="O965" s="32"/>
      <c r="P965" s="33" t="str">
        <f t="array" ref="P965">IFERROR(
HYPERLINK(
"https://drive.google.com/file/d/"&amp;
XLOOKUP(O965,'Hoa-Don'!A:A,'Hoa-Don'!D:D)
&amp;"/view",
"🔎"
),
""
)</f>
        <v/>
      </c>
    </row>
    <row r="966" ht="22.5" customHeight="1">
      <c r="A966" s="21">
        <v>965.0</v>
      </c>
      <c r="B966" s="22">
        <v>44653.0</v>
      </c>
      <c r="C966" s="23">
        <v>494.0</v>
      </c>
      <c r="D966" s="24" t="s">
        <v>864</v>
      </c>
      <c r="E966" s="37" t="s">
        <v>16</v>
      </c>
      <c r="F966" s="26"/>
      <c r="G966" s="36" t="s">
        <v>42</v>
      </c>
      <c r="H966" s="28">
        <v>16.0</v>
      </c>
      <c r="I966" s="28">
        <v>14513.660821349476</v>
      </c>
      <c r="J966" s="29">
        <v>232218.57314159162</v>
      </c>
      <c r="K966" s="29">
        <v>14513.660821349476</v>
      </c>
      <c r="L966" s="30">
        <v>193.0</v>
      </c>
      <c r="M966" s="29">
        <v>2801136.538520449</v>
      </c>
      <c r="N966" s="31" t="s">
        <v>1078</v>
      </c>
      <c r="O966" s="32"/>
      <c r="P966" s="33" t="str">
        <f t="array" ref="P966">IFERROR(
HYPERLINK(
"https://drive.google.com/file/d/"&amp;
XLOOKUP(O966,'Hoa-Don'!A:A,'Hoa-Don'!D:D)
&amp;"/view",
"🔎"
),
""
)</f>
        <v/>
      </c>
    </row>
    <row r="967" ht="22.5" customHeight="1">
      <c r="A967" s="21">
        <v>966.0</v>
      </c>
      <c r="B967" s="22">
        <v>44653.0</v>
      </c>
      <c r="C967" s="23">
        <v>494.0</v>
      </c>
      <c r="D967" s="24" t="s">
        <v>864</v>
      </c>
      <c r="E967" s="35" t="s">
        <v>18</v>
      </c>
      <c r="F967" s="26"/>
      <c r="G967" s="36" t="s">
        <v>42</v>
      </c>
      <c r="H967" s="28">
        <v>875.0</v>
      </c>
      <c r="I967" s="28">
        <v>17346.750064543026</v>
      </c>
      <c r="J967" s="29">
        <v>1.5178406306475148E7</v>
      </c>
      <c r="K967" s="29">
        <v>17346.750064543026</v>
      </c>
      <c r="L967" s="30">
        <v>52592.06000000001</v>
      </c>
      <c r="M967" s="29">
        <v>9.12301320199451E8</v>
      </c>
      <c r="N967" s="31" t="s">
        <v>1079</v>
      </c>
      <c r="O967" s="32"/>
      <c r="P967" s="33" t="str">
        <f t="array" ref="P967">IFERROR(
HYPERLINK(
"https://drive.google.com/file/d/"&amp;
XLOOKUP(O967,'Hoa-Don'!A:A,'Hoa-Don'!D:D)
&amp;"/view",
"🔎"
),
""
)</f>
        <v/>
      </c>
    </row>
    <row r="968" ht="22.5" customHeight="1">
      <c r="A968" s="21">
        <v>967.0</v>
      </c>
      <c r="B968" s="22">
        <v>44654.0</v>
      </c>
      <c r="C968" s="23">
        <v>495.0</v>
      </c>
      <c r="D968" s="24" t="s">
        <v>845</v>
      </c>
      <c r="E968" s="35" t="s">
        <v>18</v>
      </c>
      <c r="F968" s="26"/>
      <c r="G968" s="36" t="s">
        <v>42</v>
      </c>
      <c r="H968" s="28">
        <v>635.0</v>
      </c>
      <c r="I968" s="28">
        <v>17346.750064543026</v>
      </c>
      <c r="J968" s="29">
        <v>1.1015186290984822E7</v>
      </c>
      <c r="K968" s="29">
        <v>17346.750064543026</v>
      </c>
      <c r="L968" s="30">
        <v>51957.06000000001</v>
      </c>
      <c r="M968" s="29">
        <v>9.012861339084661E8</v>
      </c>
      <c r="N968" s="31" t="s">
        <v>1080</v>
      </c>
      <c r="O968" s="32"/>
      <c r="P968" s="33" t="str">
        <f t="array" ref="P968">IFERROR(
HYPERLINK(
"https://drive.google.com/file/d/"&amp;
XLOOKUP(O968,'Hoa-Don'!A:A,'Hoa-Don'!D:D)
&amp;"/view",
"🔎"
),
""
)</f>
        <v/>
      </c>
    </row>
    <row r="969" ht="22.5" customHeight="1">
      <c r="A969" s="21">
        <v>968.0</v>
      </c>
      <c r="B969" s="22">
        <v>44654.0</v>
      </c>
      <c r="C969" s="23">
        <v>495.0</v>
      </c>
      <c r="D969" s="24" t="s">
        <v>845</v>
      </c>
      <c r="E969" s="35" t="s">
        <v>18</v>
      </c>
      <c r="F969" s="26"/>
      <c r="G969" s="36" t="s">
        <v>42</v>
      </c>
      <c r="H969" s="28">
        <v>60.0</v>
      </c>
      <c r="I969" s="28">
        <v>17346.750064543026</v>
      </c>
      <c r="J969" s="29">
        <v>1040805.0038725815</v>
      </c>
      <c r="K969" s="29">
        <v>17346.750064543026</v>
      </c>
      <c r="L969" s="30">
        <v>51897.06000000001</v>
      </c>
      <c r="M969" s="29">
        <v>9.002453289045935E8</v>
      </c>
      <c r="N969" s="31" t="s">
        <v>1081</v>
      </c>
      <c r="O969" s="32"/>
      <c r="P969" s="33" t="str">
        <f t="array" ref="P969">IFERROR(
HYPERLINK(
"https://drive.google.com/file/d/"&amp;
XLOOKUP(O969,'Hoa-Don'!A:A,'Hoa-Don'!D:D)
&amp;"/view",
"🔎"
),
""
)</f>
        <v/>
      </c>
    </row>
    <row r="970" ht="22.5" customHeight="1">
      <c r="A970" s="21">
        <v>969.0</v>
      </c>
      <c r="B970" s="22">
        <v>44654.0</v>
      </c>
      <c r="C970" s="23">
        <v>495.0</v>
      </c>
      <c r="D970" s="24" t="s">
        <v>845</v>
      </c>
      <c r="E970" s="35" t="s">
        <v>18</v>
      </c>
      <c r="F970" s="26"/>
      <c r="G970" s="36" t="s">
        <v>42</v>
      </c>
      <c r="H970" s="28">
        <v>95.0</v>
      </c>
      <c r="I970" s="28">
        <v>17346.750064543026</v>
      </c>
      <c r="J970" s="29">
        <v>1647941.2561315876</v>
      </c>
      <c r="K970" s="29">
        <v>17346.750064543026</v>
      </c>
      <c r="L970" s="30">
        <v>51802.06000000001</v>
      </c>
      <c r="M970" s="29">
        <v>8.985973876484619E8</v>
      </c>
      <c r="N970" s="31" t="s">
        <v>1082</v>
      </c>
      <c r="O970" s="32"/>
      <c r="P970" s="33" t="str">
        <f t="array" ref="P970">IFERROR(
HYPERLINK(
"https://drive.google.com/file/d/"&amp;
XLOOKUP(O970,'Hoa-Don'!A:A,'Hoa-Don'!D:D)
&amp;"/view",
"🔎"
),
""
)</f>
        <v/>
      </c>
    </row>
    <row r="971" ht="22.5" customHeight="1">
      <c r="A971" s="21">
        <v>970.0</v>
      </c>
      <c r="B971" s="22">
        <v>44661.0</v>
      </c>
      <c r="C971" s="23">
        <v>496.0</v>
      </c>
      <c r="D971" s="24" t="s">
        <v>130</v>
      </c>
      <c r="E971" s="38" t="s">
        <v>22</v>
      </c>
      <c r="F971" s="26"/>
      <c r="G971" s="36" t="s">
        <v>42</v>
      </c>
      <c r="H971" s="28">
        <v>67.0</v>
      </c>
      <c r="I971" s="28">
        <v>16727.0</v>
      </c>
      <c r="J971" s="29">
        <v>1120709.0</v>
      </c>
      <c r="K971" s="29">
        <v>16727.0</v>
      </c>
      <c r="L971" s="30">
        <v>2700.0</v>
      </c>
      <c r="M971" s="29">
        <v>4.51629E7</v>
      </c>
      <c r="N971" s="31" t="s">
        <v>1083</v>
      </c>
      <c r="O971" s="32"/>
      <c r="P971" s="33" t="str">
        <f t="array" ref="P971">IFERROR(
HYPERLINK(
"https://drive.google.com/file/d/"&amp;
XLOOKUP(O971,'Hoa-Don'!A:A,'Hoa-Don'!D:D)
&amp;"/view",
"🔎"
),
""
)</f>
        <v/>
      </c>
    </row>
    <row r="972" ht="22.5" customHeight="1">
      <c r="A972" s="21">
        <v>971.0</v>
      </c>
      <c r="B972" s="22">
        <v>44662.0</v>
      </c>
      <c r="C972" s="23">
        <v>497.0</v>
      </c>
      <c r="D972" s="24" t="s">
        <v>130</v>
      </c>
      <c r="E972" s="35" t="s">
        <v>18</v>
      </c>
      <c r="F972" s="26"/>
      <c r="G972" s="36" t="s">
        <v>42</v>
      </c>
      <c r="H972" s="28">
        <v>50.0</v>
      </c>
      <c r="I972" s="28">
        <v>17346.750064543026</v>
      </c>
      <c r="J972" s="29">
        <v>867337.5032271513</v>
      </c>
      <c r="K972" s="29">
        <v>17346.750064543026</v>
      </c>
      <c r="L972" s="30">
        <v>51752.06000000001</v>
      </c>
      <c r="M972" s="29">
        <v>8.977300501452348E8</v>
      </c>
      <c r="N972" s="31" t="s">
        <v>1084</v>
      </c>
      <c r="O972" s="32"/>
      <c r="P972" s="33" t="str">
        <f t="array" ref="P972">IFERROR(
HYPERLINK(
"https://drive.google.com/file/d/"&amp;
XLOOKUP(O972,'Hoa-Don'!A:A,'Hoa-Don'!D:D)
&amp;"/view",
"🔎"
),
""
)</f>
        <v/>
      </c>
    </row>
    <row r="973" ht="22.5" customHeight="1">
      <c r="A973" s="21">
        <v>972.0</v>
      </c>
      <c r="B973" s="22">
        <v>44671.0</v>
      </c>
      <c r="C973" s="23">
        <v>498.0</v>
      </c>
      <c r="D973" s="24" t="s">
        <v>130</v>
      </c>
      <c r="E973" s="38" t="s">
        <v>22</v>
      </c>
      <c r="F973" s="26"/>
      <c r="G973" s="36" t="s">
        <v>42</v>
      </c>
      <c r="H973" s="28">
        <v>112.0</v>
      </c>
      <c r="I973" s="28">
        <v>16727.0</v>
      </c>
      <c r="J973" s="29">
        <v>1873424.0</v>
      </c>
      <c r="K973" s="29">
        <v>16727.0</v>
      </c>
      <c r="L973" s="30">
        <v>2588.0</v>
      </c>
      <c r="M973" s="29">
        <v>4.3289476E7</v>
      </c>
      <c r="N973" s="31" t="s">
        <v>1085</v>
      </c>
      <c r="O973" s="32"/>
      <c r="P973" s="33" t="str">
        <f t="array" ref="P973">IFERROR(
HYPERLINK(
"https://drive.google.com/file/d/"&amp;
XLOOKUP(O973,'Hoa-Don'!A:A,'Hoa-Don'!D:D)
&amp;"/view",
"🔎"
),
""
)</f>
        <v/>
      </c>
    </row>
    <row r="974" ht="22.5" customHeight="1">
      <c r="A974" s="21">
        <v>973.0</v>
      </c>
      <c r="B974" s="22">
        <v>44672.0</v>
      </c>
      <c r="C974" s="23">
        <v>499.0</v>
      </c>
      <c r="D974" s="24" t="s">
        <v>130</v>
      </c>
      <c r="E974" s="25" t="s">
        <v>11</v>
      </c>
      <c r="F974" s="26"/>
      <c r="G974" s="36" t="s">
        <v>42</v>
      </c>
      <c r="H974" s="28">
        <v>100.0</v>
      </c>
      <c r="I974" s="28">
        <v>16303.630381235034</v>
      </c>
      <c r="J974" s="29">
        <v>1630363.0381235033</v>
      </c>
      <c r="K974" s="29">
        <v>16303.630381235034</v>
      </c>
      <c r="L974" s="30">
        <v>37990.41999999999</v>
      </c>
      <c r="M974" s="29">
        <v>6.19381765707879E8</v>
      </c>
      <c r="N974" s="31" t="s">
        <v>1086</v>
      </c>
      <c r="O974" s="32"/>
      <c r="P974" s="33" t="str">
        <f t="array" ref="P974">IFERROR(
HYPERLINK(
"https://drive.google.com/file/d/"&amp;
XLOOKUP(O974,'Hoa-Don'!A:A,'Hoa-Don'!D:D)
&amp;"/view",
"🔎"
),
""
)</f>
        <v/>
      </c>
    </row>
    <row r="975" ht="22.5" customHeight="1">
      <c r="A975" s="21">
        <v>974.0</v>
      </c>
      <c r="B975" s="22">
        <v>44676.0</v>
      </c>
      <c r="C975" s="23">
        <v>500.0</v>
      </c>
      <c r="D975" s="24" t="s">
        <v>130</v>
      </c>
      <c r="E975" s="25" t="s">
        <v>11</v>
      </c>
      <c r="F975" s="26"/>
      <c r="G975" s="36" t="s">
        <v>42</v>
      </c>
      <c r="H975" s="28">
        <v>85.0</v>
      </c>
      <c r="I975" s="28">
        <v>16303.630381235034</v>
      </c>
      <c r="J975" s="29">
        <v>1385808.5824049779</v>
      </c>
      <c r="K975" s="29">
        <v>16303.630381235034</v>
      </c>
      <c r="L975" s="30">
        <v>37905.41999999999</v>
      </c>
      <c r="M975" s="29">
        <v>6.17995957125474E8</v>
      </c>
      <c r="N975" s="31" t="s">
        <v>1087</v>
      </c>
      <c r="O975" s="32"/>
      <c r="P975" s="33" t="str">
        <f t="array" ref="P975">IFERROR(
HYPERLINK(
"https://drive.google.com/file/d/"&amp;
XLOOKUP(O975,'Hoa-Don'!A:A,'Hoa-Don'!D:D)
&amp;"/view",
"🔎"
),
""
)</f>
        <v/>
      </c>
    </row>
    <row r="976" ht="22.5" customHeight="1">
      <c r="A976" s="21">
        <v>975.0</v>
      </c>
      <c r="B976" s="22">
        <v>44706.0</v>
      </c>
      <c r="C976" s="23">
        <v>1.0</v>
      </c>
      <c r="D976" s="24" t="s">
        <v>1088</v>
      </c>
      <c r="E976" s="35" t="s">
        <v>18</v>
      </c>
      <c r="F976" s="26"/>
      <c r="G976" s="36" t="s">
        <v>42</v>
      </c>
      <c r="H976" s="28">
        <v>28.0</v>
      </c>
      <c r="I976" s="28">
        <v>17346.750064543026</v>
      </c>
      <c r="J976" s="29">
        <v>485709.00180720474</v>
      </c>
      <c r="K976" s="29">
        <v>17346.750064543026</v>
      </c>
      <c r="L976" s="30">
        <v>51724.06000000001</v>
      </c>
      <c r="M976" s="29">
        <v>8.972443411434276E8</v>
      </c>
      <c r="N976" s="31" t="s">
        <v>1089</v>
      </c>
      <c r="O976" s="32"/>
      <c r="P976" s="33" t="str">
        <f t="array" ref="P976">IFERROR(
HYPERLINK(
"https://drive.google.com/file/d/"&amp;
XLOOKUP(O976,'Hoa-Don'!A:A,'Hoa-Don'!D:D)
&amp;"/view",
"🔎"
),
""
)</f>
        <v/>
      </c>
    </row>
    <row r="977" ht="22.5" customHeight="1">
      <c r="A977" s="21">
        <v>976.0</v>
      </c>
      <c r="B977" s="22">
        <v>44725.0</v>
      </c>
      <c r="C977" s="23">
        <v>2.0</v>
      </c>
      <c r="D977" s="24" t="s">
        <v>935</v>
      </c>
      <c r="E977" s="35" t="s">
        <v>18</v>
      </c>
      <c r="F977" s="26"/>
      <c r="G977" s="36" t="s">
        <v>42</v>
      </c>
      <c r="H977" s="28">
        <v>304.45</v>
      </c>
      <c r="I977" s="28">
        <v>17346.750064543026</v>
      </c>
      <c r="J977" s="29">
        <v>5281218.057150125</v>
      </c>
      <c r="K977" s="29">
        <v>17346.750064543026</v>
      </c>
      <c r="L977" s="30">
        <v>51419.610000000015</v>
      </c>
      <c r="M977" s="29">
        <v>8.919631230862775E8</v>
      </c>
      <c r="N977" s="31" t="s">
        <v>1090</v>
      </c>
      <c r="O977" s="32"/>
      <c r="P977" s="33" t="str">
        <f t="array" ref="P977">IFERROR(
HYPERLINK(
"https://drive.google.com/file/d/"&amp;
XLOOKUP(O977,'Hoa-Don'!A:A,'Hoa-Don'!D:D)
&amp;"/view",
"🔎"
),
""
)</f>
        <v/>
      </c>
    </row>
    <row r="978" ht="22.5" customHeight="1">
      <c r="A978" s="21">
        <v>977.0</v>
      </c>
      <c r="B978" s="22">
        <v>44725.0</v>
      </c>
      <c r="C978" s="23">
        <v>2.0</v>
      </c>
      <c r="D978" s="24" t="s">
        <v>935</v>
      </c>
      <c r="E978" s="35" t="s">
        <v>18</v>
      </c>
      <c r="F978" s="26"/>
      <c r="G978" s="36" t="s">
        <v>42</v>
      </c>
      <c r="H978" s="28">
        <v>19.03</v>
      </c>
      <c r="I978" s="28">
        <v>17346.750064543026</v>
      </c>
      <c r="J978" s="29">
        <v>330108.6537282538</v>
      </c>
      <c r="K978" s="29">
        <v>17346.750064543026</v>
      </c>
      <c r="L978" s="30">
        <v>51400.580000000016</v>
      </c>
      <c r="M978" s="29">
        <v>8.916330144325492E8</v>
      </c>
      <c r="N978" s="31" t="s">
        <v>1091</v>
      </c>
      <c r="O978" s="32"/>
      <c r="P978" s="33" t="str">
        <f t="array" ref="P978">IFERROR(
HYPERLINK(
"https://drive.google.com/file/d/"&amp;
XLOOKUP(O978,'Hoa-Don'!A:A,'Hoa-Don'!D:D)
&amp;"/view",
"🔎"
),
""
)</f>
        <v/>
      </c>
    </row>
    <row r="979" ht="22.5" customHeight="1">
      <c r="A979" s="21">
        <v>978.0</v>
      </c>
      <c r="B979" s="22">
        <v>44725.0</v>
      </c>
      <c r="C979" s="23">
        <v>2.0</v>
      </c>
      <c r="D979" s="24" t="s">
        <v>935</v>
      </c>
      <c r="E979" s="35" t="s">
        <v>18</v>
      </c>
      <c r="F979" s="26"/>
      <c r="G979" s="36" t="s">
        <v>42</v>
      </c>
      <c r="H979" s="28">
        <v>304.45</v>
      </c>
      <c r="I979" s="28">
        <v>17346.750064543026</v>
      </c>
      <c r="J979" s="29">
        <v>5281218.057150125</v>
      </c>
      <c r="K979" s="29">
        <v>17346.750064543026</v>
      </c>
      <c r="L979" s="30">
        <v>51096.13000000002</v>
      </c>
      <c r="M979" s="29">
        <v>8.863517963753992E8</v>
      </c>
      <c r="N979" s="31" t="s">
        <v>1090</v>
      </c>
      <c r="O979" s="32"/>
      <c r="P979" s="33" t="str">
        <f t="array" ref="P979">IFERROR(
HYPERLINK(
"https://drive.google.com/file/d/"&amp;
XLOOKUP(O979,'Hoa-Don'!A:A,'Hoa-Don'!D:D)
&amp;"/view",
"🔎"
),
""
)</f>
        <v/>
      </c>
    </row>
    <row r="980" ht="22.5" customHeight="1">
      <c r="A980" s="21">
        <v>979.0</v>
      </c>
      <c r="B980" s="22">
        <v>44725.0</v>
      </c>
      <c r="C980" s="23">
        <v>2.0</v>
      </c>
      <c r="D980" s="24" t="s">
        <v>935</v>
      </c>
      <c r="E980" s="35" t="s">
        <v>18</v>
      </c>
      <c r="F980" s="26"/>
      <c r="G980" s="36" t="s">
        <v>42</v>
      </c>
      <c r="H980" s="28">
        <v>19.03</v>
      </c>
      <c r="I980" s="28">
        <v>17346.750064543026</v>
      </c>
      <c r="J980" s="29">
        <v>330108.6537282538</v>
      </c>
      <c r="K980" s="29">
        <v>17346.750064543026</v>
      </c>
      <c r="L980" s="30">
        <v>51077.10000000002</v>
      </c>
      <c r="M980" s="29">
        <v>8.86021687721671E8</v>
      </c>
      <c r="N980" s="31" t="s">
        <v>1091</v>
      </c>
      <c r="O980" s="32"/>
      <c r="P980" s="33" t="str">
        <f t="array" ref="P980">IFERROR(
HYPERLINK(
"https://drive.google.com/file/d/"&amp;
XLOOKUP(O980,'Hoa-Don'!A:A,'Hoa-Don'!D:D)
&amp;"/view",
"🔎"
),
""
)</f>
        <v/>
      </c>
    </row>
    <row r="981" ht="22.5" customHeight="1">
      <c r="A981" s="21">
        <v>980.0</v>
      </c>
      <c r="B981" s="22">
        <v>44740.0</v>
      </c>
      <c r="C981" s="23">
        <v>3.0</v>
      </c>
      <c r="D981" s="24" t="s">
        <v>845</v>
      </c>
      <c r="E981" s="35" t="s">
        <v>18</v>
      </c>
      <c r="F981" s="26"/>
      <c r="G981" s="36" t="s">
        <v>42</v>
      </c>
      <c r="H981" s="28">
        <v>1577.0</v>
      </c>
      <c r="I981" s="28">
        <v>17346.750064543026</v>
      </c>
      <c r="J981" s="29">
        <v>2.7355824851784352E7</v>
      </c>
      <c r="K981" s="29">
        <v>17346.750064543026</v>
      </c>
      <c r="L981" s="30">
        <v>49500.10000000002</v>
      </c>
      <c r="M981" s="29">
        <v>8.586658628698866E8</v>
      </c>
      <c r="N981" s="31" t="s">
        <v>1092</v>
      </c>
      <c r="O981" s="32"/>
      <c r="P981" s="33" t="str">
        <f t="array" ref="P981">IFERROR(
HYPERLINK(
"https://drive.google.com/file/d/"&amp;
XLOOKUP(O981,'Hoa-Don'!A:A,'Hoa-Don'!D:D)
&amp;"/view",
"🔎"
),
""
)</f>
        <v/>
      </c>
    </row>
    <row r="982" ht="22.5" customHeight="1">
      <c r="A982" s="21">
        <v>981.0</v>
      </c>
      <c r="B982" s="22">
        <v>44740.0</v>
      </c>
      <c r="C982" s="23">
        <v>3.0</v>
      </c>
      <c r="D982" s="24" t="s">
        <v>845</v>
      </c>
      <c r="E982" s="35" t="s">
        <v>18</v>
      </c>
      <c r="F982" s="26"/>
      <c r="G982" s="36" t="s">
        <v>42</v>
      </c>
      <c r="H982" s="28">
        <v>52.0</v>
      </c>
      <c r="I982" s="28">
        <v>17346.750064543026</v>
      </c>
      <c r="J982" s="29">
        <v>902031.0033562374</v>
      </c>
      <c r="K982" s="29">
        <v>17346.750064543026</v>
      </c>
      <c r="L982" s="30">
        <v>49448.10000000002</v>
      </c>
      <c r="M982" s="29">
        <v>8.577638318665304E8</v>
      </c>
      <c r="N982" s="31" t="s">
        <v>1093</v>
      </c>
      <c r="O982" s="32"/>
      <c r="P982" s="33" t="str">
        <f t="array" ref="P982">IFERROR(
HYPERLINK(
"https://drive.google.com/file/d/"&amp;
XLOOKUP(O982,'Hoa-Don'!A:A,'Hoa-Don'!D:D)
&amp;"/view",
"🔎"
),
""
)</f>
        <v/>
      </c>
    </row>
    <row r="983" ht="22.5" customHeight="1">
      <c r="A983" s="21">
        <v>982.0</v>
      </c>
      <c r="B983" s="22">
        <v>44778.0</v>
      </c>
      <c r="C983" s="23">
        <v>4.0</v>
      </c>
      <c r="D983" s="24" t="s">
        <v>1094</v>
      </c>
      <c r="E983" s="25" t="s">
        <v>11</v>
      </c>
      <c r="F983" s="26"/>
      <c r="G983" s="36" t="s">
        <v>42</v>
      </c>
      <c r="H983" s="28">
        <v>358.0</v>
      </c>
      <c r="I983" s="28">
        <v>16303.630381235034</v>
      </c>
      <c r="J983" s="29">
        <v>5836699.676482142</v>
      </c>
      <c r="K983" s="29">
        <v>16303.630381235034</v>
      </c>
      <c r="L983" s="30">
        <v>37547.41999999999</v>
      </c>
      <c r="M983" s="29">
        <v>6.121592574489918E8</v>
      </c>
      <c r="N983" s="31" t="s">
        <v>1095</v>
      </c>
      <c r="O983" s="32"/>
      <c r="P983" s="33" t="str">
        <f t="array" ref="P983">IFERROR(
HYPERLINK(
"https://drive.google.com/file/d/"&amp;
XLOOKUP(O983,'Hoa-Don'!A:A,'Hoa-Don'!D:D)
&amp;"/view",
"🔎"
),
""
)</f>
        <v/>
      </c>
    </row>
    <row r="984" ht="22.5" customHeight="1">
      <c r="A984" s="21">
        <v>983.0</v>
      </c>
      <c r="B984" s="22">
        <v>44784.0</v>
      </c>
      <c r="C984" s="23">
        <v>246.0</v>
      </c>
      <c r="D984" s="24" t="s">
        <v>821</v>
      </c>
      <c r="E984" s="25" t="s">
        <v>11</v>
      </c>
      <c r="F984" s="26"/>
      <c r="G984" s="27" t="s">
        <v>38</v>
      </c>
      <c r="H984" s="28">
        <v>2609.0</v>
      </c>
      <c r="I984" s="28">
        <v>18272.73</v>
      </c>
      <c r="J984" s="29">
        <v>4.767355257E7</v>
      </c>
      <c r="K984" s="29">
        <v>16431.564617039865</v>
      </c>
      <c r="L984" s="30">
        <v>40156.41999999999</v>
      </c>
      <c r="M984" s="29">
        <v>6.598328100189918E8</v>
      </c>
      <c r="N984" s="31" t="s">
        <v>1096</v>
      </c>
      <c r="O984" s="32"/>
      <c r="P984" s="33" t="str">
        <f t="array" ref="P984">IFERROR(
HYPERLINK(
"https://drive.google.com/file/d/"&amp;
XLOOKUP(O984,'Hoa-Don'!A:A,'Hoa-Don'!D:D)
&amp;"/view",
"🔎"
),
""
)</f>
        <v/>
      </c>
    </row>
    <row r="985" ht="22.5" customHeight="1">
      <c r="A985" s="21">
        <v>984.0</v>
      </c>
      <c r="B985" s="22">
        <v>44786.0</v>
      </c>
      <c r="C985" s="23">
        <v>251.0</v>
      </c>
      <c r="D985" s="24" t="s">
        <v>821</v>
      </c>
      <c r="E985" s="25" t="s">
        <v>11</v>
      </c>
      <c r="F985" s="26"/>
      <c r="G985" s="27" t="s">
        <v>38</v>
      </c>
      <c r="H985" s="28">
        <v>2511.0</v>
      </c>
      <c r="I985" s="28">
        <v>18363.64</v>
      </c>
      <c r="J985" s="29">
        <v>4.611110004E7</v>
      </c>
      <c r="K985" s="29">
        <v>16545.268264614828</v>
      </c>
      <c r="L985" s="30">
        <v>42667.41999999999</v>
      </c>
      <c r="M985" s="29">
        <v>7.059439100589918E8</v>
      </c>
      <c r="N985" s="31" t="s">
        <v>1097</v>
      </c>
      <c r="O985" s="32"/>
      <c r="P985" s="33" t="str">
        <f t="array" ref="P985">IFERROR(
HYPERLINK(
"https://drive.google.com/file/d/"&amp;
XLOOKUP(O985,'Hoa-Don'!A:A,'Hoa-Don'!D:D)
&amp;"/view",
"🔎"
),
""
)</f>
        <v/>
      </c>
    </row>
    <row r="986" ht="22.5" customHeight="1">
      <c r="A986" s="21">
        <v>985.0</v>
      </c>
      <c r="B986" s="22">
        <v>44818.0</v>
      </c>
      <c r="C986" s="23">
        <v>5.0</v>
      </c>
      <c r="D986" s="24" t="s">
        <v>48</v>
      </c>
      <c r="E986" s="35" t="s">
        <v>18</v>
      </c>
      <c r="F986" s="26"/>
      <c r="G986" s="36" t="s">
        <v>42</v>
      </c>
      <c r="H986" s="28">
        <v>471.0</v>
      </c>
      <c r="I986" s="28">
        <v>17346.750064543026</v>
      </c>
      <c r="J986" s="29">
        <v>8170319.280399766</v>
      </c>
      <c r="K986" s="29">
        <v>17346.750064543026</v>
      </c>
      <c r="L986" s="30">
        <v>48977.10000000002</v>
      </c>
      <c r="M986" s="29">
        <v>8.495935125861306E8</v>
      </c>
      <c r="N986" s="31" t="s">
        <v>1098</v>
      </c>
      <c r="O986" s="32"/>
      <c r="P986" s="33" t="str">
        <f t="array" ref="P986">IFERROR(
HYPERLINK(
"https://drive.google.com/file/d/"&amp;
XLOOKUP(O986,'Hoa-Don'!A:A,'Hoa-Don'!D:D)
&amp;"/view",
"🔎"
),
""
)</f>
        <v/>
      </c>
    </row>
    <row r="987" ht="22.5" customHeight="1">
      <c r="A987" s="21">
        <v>986.0</v>
      </c>
      <c r="B987" s="22">
        <v>44818.0</v>
      </c>
      <c r="C987" s="23">
        <v>5.0</v>
      </c>
      <c r="D987" s="24" t="s">
        <v>48</v>
      </c>
      <c r="E987" s="35" t="s">
        <v>18</v>
      </c>
      <c r="F987" s="26"/>
      <c r="G987" s="36" t="s">
        <v>42</v>
      </c>
      <c r="H987" s="28">
        <v>7.0</v>
      </c>
      <c r="I987" s="28">
        <v>17346.750064543026</v>
      </c>
      <c r="J987" s="29">
        <v>121427.25045180118</v>
      </c>
      <c r="K987" s="29">
        <v>17346.750064543026</v>
      </c>
      <c r="L987" s="30">
        <v>48970.10000000002</v>
      </c>
      <c r="M987" s="29">
        <v>8.494720853356788E8</v>
      </c>
      <c r="N987" s="31" t="s">
        <v>1099</v>
      </c>
      <c r="O987" s="32"/>
      <c r="P987" s="33" t="str">
        <f t="array" ref="P987">IFERROR(
HYPERLINK(
"https://drive.google.com/file/d/"&amp;
XLOOKUP(O987,'Hoa-Don'!A:A,'Hoa-Don'!D:D)
&amp;"/view",
"🔎"
),
""
)</f>
        <v/>
      </c>
    </row>
    <row r="988" ht="22.5" customHeight="1">
      <c r="A988" s="21">
        <v>987.0</v>
      </c>
      <c r="B988" s="22">
        <v>44820.0</v>
      </c>
      <c r="C988" s="23">
        <v>6.0</v>
      </c>
      <c r="D988" s="24" t="s">
        <v>48</v>
      </c>
      <c r="E988" s="35" t="s">
        <v>18</v>
      </c>
      <c r="F988" s="26"/>
      <c r="G988" s="36" t="s">
        <v>42</v>
      </c>
      <c r="H988" s="28">
        <v>575.0</v>
      </c>
      <c r="I988" s="28">
        <v>17346.750064543026</v>
      </c>
      <c r="J988" s="29">
        <v>9974381.28711224</v>
      </c>
      <c r="K988" s="29">
        <v>17346.750064543026</v>
      </c>
      <c r="L988" s="30">
        <v>48395.10000000002</v>
      </c>
      <c r="M988" s="29">
        <v>8.394977040485666E8</v>
      </c>
      <c r="N988" s="31" t="s">
        <v>1100</v>
      </c>
      <c r="O988" s="32"/>
      <c r="P988" s="33" t="str">
        <f t="array" ref="P988">IFERROR(
HYPERLINK(
"https://drive.google.com/file/d/"&amp;
XLOOKUP(O988,'Hoa-Don'!A:A,'Hoa-Don'!D:D)
&amp;"/view",
"🔎"
),
""
)</f>
        <v/>
      </c>
    </row>
    <row r="989" ht="22.5" customHeight="1">
      <c r="A989" s="21">
        <v>988.0</v>
      </c>
      <c r="B989" s="22">
        <v>44820.0</v>
      </c>
      <c r="C989" s="23">
        <v>6.0</v>
      </c>
      <c r="D989" s="24" t="s">
        <v>48</v>
      </c>
      <c r="E989" s="35" t="s">
        <v>18</v>
      </c>
      <c r="F989" s="26"/>
      <c r="G989" s="36" t="s">
        <v>42</v>
      </c>
      <c r="H989" s="28">
        <v>194.0</v>
      </c>
      <c r="I989" s="28">
        <v>17346.750064543026</v>
      </c>
      <c r="J989" s="29">
        <v>3365269.512521347</v>
      </c>
      <c r="K989" s="29">
        <v>17346.750064543026</v>
      </c>
      <c r="L989" s="30">
        <v>48201.10000000002</v>
      </c>
      <c r="M989" s="29">
        <v>8.361324345360452E8</v>
      </c>
      <c r="N989" s="31" t="s">
        <v>1101</v>
      </c>
      <c r="O989" s="32"/>
      <c r="P989" s="33" t="str">
        <f t="array" ref="P989">IFERROR(
HYPERLINK(
"https://drive.google.com/file/d/"&amp;
XLOOKUP(O989,'Hoa-Don'!A:A,'Hoa-Don'!D:D)
&amp;"/view",
"🔎"
),
""
)</f>
        <v/>
      </c>
    </row>
    <row r="990" ht="22.5" customHeight="1">
      <c r="A990" s="21">
        <v>989.0</v>
      </c>
      <c r="B990" s="22">
        <v>44823.0</v>
      </c>
      <c r="C990" s="23">
        <v>7.0</v>
      </c>
      <c r="D990" s="24" t="s">
        <v>48</v>
      </c>
      <c r="E990" s="35" t="s">
        <v>18</v>
      </c>
      <c r="F990" s="26"/>
      <c r="G990" s="36" t="s">
        <v>42</v>
      </c>
      <c r="H990" s="28">
        <v>760.0</v>
      </c>
      <c r="I990" s="28">
        <v>17346.750064543026</v>
      </c>
      <c r="J990" s="29">
        <v>1.31835300490527E7</v>
      </c>
      <c r="K990" s="29">
        <v>17346.750064543026</v>
      </c>
      <c r="L990" s="30">
        <v>47441.10000000002</v>
      </c>
      <c r="M990" s="29">
        <v>8.229489044869925E8</v>
      </c>
      <c r="N990" s="31" t="s">
        <v>1102</v>
      </c>
      <c r="O990" s="32"/>
      <c r="P990" s="33" t="str">
        <f t="array" ref="P990">IFERROR(
HYPERLINK(
"https://drive.google.com/file/d/"&amp;
XLOOKUP(O990,'Hoa-Don'!A:A,'Hoa-Don'!D:D)
&amp;"/view",
"🔎"
),
""
)</f>
        <v/>
      </c>
    </row>
    <row r="991" ht="22.5" customHeight="1">
      <c r="A991" s="21">
        <v>990.0</v>
      </c>
      <c r="B991" s="22">
        <v>44823.0</v>
      </c>
      <c r="C991" s="23">
        <v>8.0</v>
      </c>
      <c r="D991" s="24" t="s">
        <v>1103</v>
      </c>
      <c r="E991" s="35" t="s">
        <v>18</v>
      </c>
      <c r="F991" s="26"/>
      <c r="G991" s="36" t="s">
        <v>42</v>
      </c>
      <c r="H991" s="28">
        <v>415.0</v>
      </c>
      <c r="I991" s="28">
        <v>17346.750064543026</v>
      </c>
      <c r="J991" s="29">
        <v>7198901.276785356</v>
      </c>
      <c r="K991" s="29">
        <v>17346.750064543026</v>
      </c>
      <c r="L991" s="30">
        <v>47026.10000000002</v>
      </c>
      <c r="M991" s="29">
        <v>8.157500032102072E8</v>
      </c>
      <c r="N991" s="31" t="s">
        <v>1104</v>
      </c>
      <c r="O991" s="32"/>
      <c r="P991" s="33" t="str">
        <f t="array" ref="P991">IFERROR(
HYPERLINK(
"https://drive.google.com/file/d/"&amp;
XLOOKUP(O991,'Hoa-Don'!A:A,'Hoa-Don'!D:D)
&amp;"/view",
"🔎"
),
""
)</f>
        <v/>
      </c>
    </row>
    <row r="992" ht="22.5" customHeight="1">
      <c r="A992" s="21">
        <v>991.0</v>
      </c>
      <c r="B992" s="22">
        <v>44825.0</v>
      </c>
      <c r="C992" s="23">
        <v>9.0</v>
      </c>
      <c r="D992" s="24" t="s">
        <v>48</v>
      </c>
      <c r="E992" s="35" t="s">
        <v>18</v>
      </c>
      <c r="F992" s="26"/>
      <c r="G992" s="36" t="s">
        <v>42</v>
      </c>
      <c r="H992" s="28">
        <v>453.0</v>
      </c>
      <c r="I992" s="28">
        <v>17346.750064543026</v>
      </c>
      <c r="J992" s="29">
        <v>7858077.779237991</v>
      </c>
      <c r="K992" s="29">
        <v>17346.750064543026</v>
      </c>
      <c r="L992" s="30">
        <v>46573.10000000002</v>
      </c>
      <c r="M992" s="29">
        <v>8.078919254309691E8</v>
      </c>
      <c r="N992" s="31" t="s">
        <v>1105</v>
      </c>
      <c r="O992" s="32"/>
      <c r="P992" s="33" t="str">
        <f t="array" ref="P992">IFERROR(
HYPERLINK(
"https://drive.google.com/file/d/"&amp;
XLOOKUP(O992,'Hoa-Don'!A:A,'Hoa-Don'!D:D)
&amp;"/view",
"🔎"
),
""
)</f>
        <v/>
      </c>
    </row>
    <row r="993" ht="22.5" customHeight="1">
      <c r="A993" s="21">
        <v>992.0</v>
      </c>
      <c r="B993" s="22">
        <v>44825.0</v>
      </c>
      <c r="C993" s="23">
        <v>9.0</v>
      </c>
      <c r="D993" s="24" t="s">
        <v>48</v>
      </c>
      <c r="E993" s="35" t="s">
        <v>18</v>
      </c>
      <c r="F993" s="26"/>
      <c r="G993" s="36" t="s">
        <v>42</v>
      </c>
      <c r="H993" s="28">
        <v>260.0</v>
      </c>
      <c r="I993" s="28">
        <v>17346.750064543026</v>
      </c>
      <c r="J993" s="29">
        <v>4510155.016781187</v>
      </c>
      <c r="K993" s="29">
        <v>17346.750064543026</v>
      </c>
      <c r="L993" s="30">
        <v>46313.10000000002</v>
      </c>
      <c r="M993" s="29">
        <v>8.03381770414188E8</v>
      </c>
      <c r="N993" s="31" t="s">
        <v>1106</v>
      </c>
      <c r="O993" s="32"/>
      <c r="P993" s="33" t="str">
        <f t="array" ref="P993">IFERROR(
HYPERLINK(
"https://drive.google.com/file/d/"&amp;
XLOOKUP(O993,'Hoa-Don'!A:A,'Hoa-Don'!D:D)
&amp;"/view",
"🔎"
),
""
)</f>
        <v/>
      </c>
    </row>
    <row r="994" ht="22.5" customHeight="1">
      <c r="A994" s="21">
        <v>993.0</v>
      </c>
      <c r="B994" s="22">
        <v>44826.0</v>
      </c>
      <c r="C994" s="23">
        <v>10.0</v>
      </c>
      <c r="D994" s="24" t="s">
        <v>935</v>
      </c>
      <c r="E994" s="35" t="s">
        <v>18</v>
      </c>
      <c r="F994" s="26"/>
      <c r="G994" s="36" t="s">
        <v>42</v>
      </c>
      <c r="H994" s="28">
        <v>913.36</v>
      </c>
      <c r="I994" s="28">
        <v>17346.750064543026</v>
      </c>
      <c r="J994" s="29">
        <v>1.5843827638951018E7</v>
      </c>
      <c r="K994" s="29">
        <v>17346.750064543026</v>
      </c>
      <c r="L994" s="30">
        <v>45399.74000000002</v>
      </c>
      <c r="M994" s="29">
        <v>7.87537942775237E8</v>
      </c>
      <c r="N994" s="31" t="s">
        <v>1107</v>
      </c>
      <c r="O994" s="32"/>
      <c r="P994" s="33" t="str">
        <f t="array" ref="P994">IFERROR(
HYPERLINK(
"https://drive.google.com/file/d/"&amp;
XLOOKUP(O994,'Hoa-Don'!A:A,'Hoa-Don'!D:D)
&amp;"/view",
"🔎"
),
""
)</f>
        <v/>
      </c>
    </row>
    <row r="995" ht="22.5" customHeight="1">
      <c r="A995" s="21">
        <v>994.0</v>
      </c>
      <c r="B995" s="22">
        <v>44826.0</v>
      </c>
      <c r="C995" s="23">
        <v>10.0</v>
      </c>
      <c r="D995" s="24" t="s">
        <v>935</v>
      </c>
      <c r="E995" s="35" t="s">
        <v>18</v>
      </c>
      <c r="F995" s="26"/>
      <c r="G995" s="36" t="s">
        <v>42</v>
      </c>
      <c r="H995" s="28">
        <v>913.36</v>
      </c>
      <c r="I995" s="28">
        <v>17346.750064543026</v>
      </c>
      <c r="J995" s="29">
        <v>1.5843827638951018E7</v>
      </c>
      <c r="K995" s="29">
        <v>17346.750064543026</v>
      </c>
      <c r="L995" s="30">
        <v>44486.38000000002</v>
      </c>
      <c r="M995" s="29">
        <v>7.716941151362859E8</v>
      </c>
      <c r="N995" s="31" t="s">
        <v>1107</v>
      </c>
      <c r="O995" s="32"/>
      <c r="P995" s="33" t="str">
        <f t="array" ref="P995">IFERROR(
HYPERLINK(
"https://drive.google.com/file/d/"&amp;
XLOOKUP(O995,'Hoa-Don'!A:A,'Hoa-Don'!D:D)
&amp;"/view",
"🔎"
),
""
)</f>
        <v/>
      </c>
    </row>
    <row r="996" ht="22.5" customHeight="1">
      <c r="A996" s="21">
        <v>995.0</v>
      </c>
      <c r="B996" s="22">
        <v>44826.0</v>
      </c>
      <c r="C996" s="23">
        <v>10.0</v>
      </c>
      <c r="D996" s="24" t="s">
        <v>935</v>
      </c>
      <c r="E996" s="35" t="s">
        <v>18</v>
      </c>
      <c r="F996" s="26"/>
      <c r="G996" s="36" t="s">
        <v>42</v>
      </c>
      <c r="H996" s="28">
        <v>19.03</v>
      </c>
      <c r="I996" s="28">
        <v>17346.750064543026</v>
      </c>
      <c r="J996" s="29">
        <v>330108.6537282538</v>
      </c>
      <c r="K996" s="29">
        <v>17346.750064543026</v>
      </c>
      <c r="L996" s="30">
        <v>44467.35000000002</v>
      </c>
      <c r="M996" s="29">
        <v>7.713640064825577E8</v>
      </c>
      <c r="N996" s="31" t="s">
        <v>1108</v>
      </c>
      <c r="O996" s="32"/>
      <c r="P996" s="33" t="str">
        <f t="array" ref="P996">IFERROR(
HYPERLINK(
"https://drive.google.com/file/d/"&amp;
XLOOKUP(O996,'Hoa-Don'!A:A,'Hoa-Don'!D:D)
&amp;"/view",
"🔎"
),
""
)</f>
        <v/>
      </c>
    </row>
    <row r="997" ht="22.5" customHeight="1">
      <c r="A997" s="21">
        <v>996.0</v>
      </c>
      <c r="B997" s="22">
        <v>44826.0</v>
      </c>
      <c r="C997" s="23">
        <v>10.0</v>
      </c>
      <c r="D997" s="24" t="s">
        <v>935</v>
      </c>
      <c r="E997" s="35" t="s">
        <v>18</v>
      </c>
      <c r="F997" s="26"/>
      <c r="G997" s="36" t="s">
        <v>42</v>
      </c>
      <c r="H997" s="28">
        <v>19.03</v>
      </c>
      <c r="I997" s="28">
        <v>17346.750064543026</v>
      </c>
      <c r="J997" s="29">
        <v>330108.6537282538</v>
      </c>
      <c r="K997" s="29">
        <v>17346.750064543026</v>
      </c>
      <c r="L997" s="30">
        <v>44448.32000000002</v>
      </c>
      <c r="M997" s="29">
        <v>7.710338978288294E8</v>
      </c>
      <c r="N997" s="31" t="s">
        <v>1108</v>
      </c>
      <c r="O997" s="32"/>
      <c r="P997" s="33" t="str">
        <f t="array" ref="P997">IFERROR(
HYPERLINK(
"https://drive.google.com/file/d/"&amp;
XLOOKUP(O997,'Hoa-Don'!A:A,'Hoa-Don'!D:D)
&amp;"/view",
"🔎"
),
""
)</f>
        <v/>
      </c>
    </row>
    <row r="998" ht="22.5" customHeight="1">
      <c r="A998" s="21">
        <v>997.0</v>
      </c>
      <c r="B998" s="22">
        <v>44828.0</v>
      </c>
      <c r="C998" s="23">
        <v>11.0</v>
      </c>
      <c r="D998" s="24" t="s">
        <v>1103</v>
      </c>
      <c r="E998" s="35" t="s">
        <v>18</v>
      </c>
      <c r="F998" s="26"/>
      <c r="G998" s="36" t="s">
        <v>42</v>
      </c>
      <c r="H998" s="28">
        <v>207.24</v>
      </c>
      <c r="I998" s="28">
        <v>17346.750064543026</v>
      </c>
      <c r="J998" s="29">
        <v>3594940.483375897</v>
      </c>
      <c r="K998" s="29">
        <v>17346.750064543026</v>
      </c>
      <c r="L998" s="30">
        <v>44241.08000000002</v>
      </c>
      <c r="M998" s="29">
        <v>7.674389573454536E8</v>
      </c>
      <c r="N998" s="31" t="s">
        <v>1109</v>
      </c>
      <c r="O998" s="32"/>
      <c r="P998" s="33" t="str">
        <f t="array" ref="P998">IFERROR(
HYPERLINK(
"https://drive.google.com/file/d/"&amp;
XLOOKUP(O998,'Hoa-Don'!A:A,'Hoa-Don'!D:D)
&amp;"/view",
"🔎"
),
""
)</f>
        <v/>
      </c>
    </row>
    <row r="999" ht="22.5" customHeight="1">
      <c r="A999" s="21">
        <v>998.0</v>
      </c>
      <c r="B999" s="22">
        <v>44832.0</v>
      </c>
      <c r="C999" s="23">
        <v>12.0</v>
      </c>
      <c r="D999" s="24" t="s">
        <v>48</v>
      </c>
      <c r="E999" s="35" t="s">
        <v>18</v>
      </c>
      <c r="F999" s="26"/>
      <c r="G999" s="36" t="s">
        <v>42</v>
      </c>
      <c r="H999" s="28">
        <v>858.0</v>
      </c>
      <c r="I999" s="28">
        <v>17346.750064543026</v>
      </c>
      <c r="J999" s="29">
        <v>1.4883511555377917E7</v>
      </c>
      <c r="K999" s="29">
        <v>17346.750064543026</v>
      </c>
      <c r="L999" s="30">
        <v>43383.08000000002</v>
      </c>
      <c r="M999" s="29">
        <v>7.525554457900757E8</v>
      </c>
      <c r="N999" s="31" t="s">
        <v>1110</v>
      </c>
      <c r="O999" s="32"/>
      <c r="P999" s="33" t="str">
        <f t="array" ref="P999">IFERROR(
HYPERLINK(
"https://drive.google.com/file/d/"&amp;
XLOOKUP(O999,'Hoa-Don'!A:A,'Hoa-Don'!D:D)
&amp;"/view",
"🔎"
),
""
)</f>
        <v/>
      </c>
    </row>
    <row r="1000" ht="22.5" customHeight="1">
      <c r="A1000" s="21">
        <v>999.0</v>
      </c>
      <c r="B1000" s="22">
        <v>44832.0</v>
      </c>
      <c r="C1000" s="23">
        <v>12.0</v>
      </c>
      <c r="D1000" s="24" t="s">
        <v>48</v>
      </c>
      <c r="E1000" s="35" t="s">
        <v>18</v>
      </c>
      <c r="F1000" s="26"/>
      <c r="G1000" s="36" t="s">
        <v>42</v>
      </c>
      <c r="H1000" s="28">
        <v>32.0</v>
      </c>
      <c r="I1000" s="28">
        <v>17346.750064543026</v>
      </c>
      <c r="J1000" s="29">
        <v>555096.0020653768</v>
      </c>
      <c r="K1000" s="29">
        <v>17346.750064543026</v>
      </c>
      <c r="L1000" s="30">
        <v>43351.08000000002</v>
      </c>
      <c r="M1000" s="29">
        <v>7.520003497880104E8</v>
      </c>
      <c r="N1000" s="31" t="s">
        <v>1111</v>
      </c>
      <c r="O1000" s="32"/>
      <c r="P1000" s="33" t="str">
        <f t="array" ref="P1000">IFERROR(
HYPERLINK(
"https://drive.google.com/file/d/"&amp;
XLOOKUP(O1000,'Hoa-Don'!A:A,'Hoa-Don'!D:D)
&amp;"/view",
"🔎"
),
""
)</f>
        <v/>
      </c>
    </row>
    <row r="1001" ht="22.5" customHeight="1">
      <c r="A1001" s="21">
        <v>1000.0</v>
      </c>
      <c r="B1001" s="22">
        <v>44845.0</v>
      </c>
      <c r="C1001" s="23">
        <v>187.0</v>
      </c>
      <c r="D1001" s="24" t="s">
        <v>725</v>
      </c>
      <c r="E1001" s="35" t="s">
        <v>18</v>
      </c>
      <c r="F1001" s="26"/>
      <c r="G1001" s="27" t="s">
        <v>38</v>
      </c>
      <c r="H1001" s="28">
        <v>7356.0</v>
      </c>
      <c r="I1001" s="28">
        <v>14254.55</v>
      </c>
      <c r="J1001" s="29">
        <v>1.048564698E8</v>
      </c>
      <c r="K1001" s="29">
        <v>16898.169241613003</v>
      </c>
      <c r="L1001" s="30">
        <v>50707.08000000002</v>
      </c>
      <c r="M1001" s="29">
        <v>8.568568195880103E8</v>
      </c>
      <c r="N1001" s="31" t="s">
        <v>1112</v>
      </c>
      <c r="O1001" s="32"/>
      <c r="P1001" s="33" t="str">
        <f t="array" ref="P1001">IFERROR(
HYPERLINK(
"https://drive.google.com/file/d/"&amp;
XLOOKUP(O1001,'Hoa-Don'!A:A,'Hoa-Don'!D:D)
&amp;"/view",
"🔎"
),
""
)</f>
        <v/>
      </c>
    </row>
    <row r="1002" ht="22.5" customHeight="1">
      <c r="A1002" s="21">
        <v>1001.0</v>
      </c>
      <c r="B1002" s="22">
        <v>44845.0</v>
      </c>
      <c r="C1002" s="23">
        <v>404.0</v>
      </c>
      <c r="D1002" s="24" t="s">
        <v>821</v>
      </c>
      <c r="E1002" s="25" t="s">
        <v>11</v>
      </c>
      <c r="F1002" s="26"/>
      <c r="G1002" s="27" t="s">
        <v>38</v>
      </c>
      <c r="H1002" s="28">
        <v>515.0</v>
      </c>
      <c r="I1002" s="28">
        <v>16727.27</v>
      </c>
      <c r="J1002" s="29">
        <v>8614544.05</v>
      </c>
      <c r="K1002" s="29">
        <v>16547.43884453423</v>
      </c>
      <c r="L1002" s="30">
        <v>43182.41999999999</v>
      </c>
      <c r="M1002" s="29">
        <v>7.145584541089917E8</v>
      </c>
      <c r="N1002" s="31" t="s">
        <v>1113</v>
      </c>
      <c r="O1002" s="32"/>
      <c r="P1002" s="33" t="str">
        <f t="array" ref="P1002">IFERROR(
HYPERLINK(
"https://drive.google.com/file/d/"&amp;
XLOOKUP(O1002,'Hoa-Don'!A:A,'Hoa-Don'!D:D)
&amp;"/view",
"🔎"
),
""
)</f>
        <v/>
      </c>
    </row>
    <row r="1003" ht="22.5" customHeight="1">
      <c r="A1003" s="21">
        <v>1002.0</v>
      </c>
      <c r="B1003" s="22">
        <v>44902.0</v>
      </c>
      <c r="C1003" s="23">
        <v>13.0</v>
      </c>
      <c r="D1003" s="24" t="s">
        <v>935</v>
      </c>
      <c r="E1003" s="35" t="s">
        <v>18</v>
      </c>
      <c r="F1003" s="26"/>
      <c r="G1003" s="36" t="s">
        <v>42</v>
      </c>
      <c r="H1003" s="28">
        <v>913.36</v>
      </c>
      <c r="I1003" s="28">
        <v>16898.169241613003</v>
      </c>
      <c r="J1003" s="29">
        <v>1.5434111858519653E7</v>
      </c>
      <c r="K1003" s="29">
        <v>16898.169241613003</v>
      </c>
      <c r="L1003" s="30">
        <v>49793.72000000002</v>
      </c>
      <c r="M1003" s="29">
        <v>8.414227077294906E8</v>
      </c>
      <c r="N1003" s="31" t="s">
        <v>1114</v>
      </c>
      <c r="O1003" s="32"/>
      <c r="P1003" s="33" t="str">
        <f t="array" ref="P1003">IFERROR(
HYPERLINK(
"https://drive.google.com/file/d/"&amp;
XLOOKUP(O1003,'Hoa-Don'!A:A,'Hoa-Don'!D:D)
&amp;"/view",
"🔎"
),
""
)</f>
        <v/>
      </c>
    </row>
    <row r="1004" ht="22.5" customHeight="1">
      <c r="A1004" s="21">
        <v>1003.0</v>
      </c>
      <c r="B1004" s="22">
        <v>44902.0</v>
      </c>
      <c r="C1004" s="23">
        <v>13.0</v>
      </c>
      <c r="D1004" s="24" t="s">
        <v>935</v>
      </c>
      <c r="E1004" s="35" t="s">
        <v>18</v>
      </c>
      <c r="F1004" s="26"/>
      <c r="G1004" s="36" t="s">
        <v>42</v>
      </c>
      <c r="H1004" s="28">
        <v>913.36</v>
      </c>
      <c r="I1004" s="28">
        <v>16898.169241613003</v>
      </c>
      <c r="J1004" s="29">
        <v>1.5434111858519653E7</v>
      </c>
      <c r="K1004" s="29">
        <v>16898.169241613003</v>
      </c>
      <c r="L1004" s="30">
        <v>48880.36000000002</v>
      </c>
      <c r="M1004" s="29">
        <v>8.25988595870971E8</v>
      </c>
      <c r="N1004" s="31" t="s">
        <v>1114</v>
      </c>
      <c r="O1004" s="32"/>
      <c r="P1004" s="33" t="str">
        <f t="array" ref="P1004">IFERROR(
HYPERLINK(
"https://drive.google.com/file/d/"&amp;
XLOOKUP(O1004,'Hoa-Don'!A:A,'Hoa-Don'!D:D)
&amp;"/view",
"🔎"
),
""
)</f>
        <v/>
      </c>
    </row>
    <row r="1005" ht="22.5" customHeight="1">
      <c r="A1005" s="21">
        <v>1004.0</v>
      </c>
      <c r="B1005" s="22">
        <v>44910.0</v>
      </c>
      <c r="C1005" s="23">
        <v>14.0</v>
      </c>
      <c r="D1005" s="24" t="s">
        <v>48</v>
      </c>
      <c r="E1005" s="35" t="s">
        <v>18</v>
      </c>
      <c r="F1005" s="26"/>
      <c r="G1005" s="36" t="s">
        <v>42</v>
      </c>
      <c r="H1005" s="28">
        <v>989.0</v>
      </c>
      <c r="I1005" s="28">
        <v>16898.169241613003</v>
      </c>
      <c r="J1005" s="29">
        <v>1.671228937995526E7</v>
      </c>
      <c r="K1005" s="29">
        <v>16898.169241613003</v>
      </c>
      <c r="L1005" s="30">
        <v>47891.36000000002</v>
      </c>
      <c r="M1005" s="29">
        <v>8.092763064910157E8</v>
      </c>
      <c r="N1005" s="31" t="s">
        <v>1115</v>
      </c>
      <c r="O1005" s="32"/>
      <c r="P1005" s="33" t="str">
        <f t="array" ref="P1005">IFERROR(
HYPERLINK(
"https://drive.google.com/file/d/"&amp;
XLOOKUP(O1005,'Hoa-Don'!A:A,'Hoa-Don'!D:D)
&amp;"/view",
"🔎"
),
""
)</f>
        <v/>
      </c>
    </row>
    <row r="1006" ht="22.5" customHeight="1">
      <c r="A1006" s="21">
        <v>1005.0</v>
      </c>
      <c r="B1006" s="22">
        <v>44910.0</v>
      </c>
      <c r="C1006" s="23">
        <v>14.0</v>
      </c>
      <c r="D1006" s="24" t="s">
        <v>48</v>
      </c>
      <c r="E1006" s="35" t="s">
        <v>18</v>
      </c>
      <c r="F1006" s="26"/>
      <c r="G1006" s="36" t="s">
        <v>42</v>
      </c>
      <c r="H1006" s="28">
        <v>540.0</v>
      </c>
      <c r="I1006" s="28">
        <v>16898.169241613003</v>
      </c>
      <c r="J1006" s="29">
        <v>9125011.39047102</v>
      </c>
      <c r="K1006" s="29">
        <v>16898.169241613003</v>
      </c>
      <c r="L1006" s="30">
        <v>47351.36000000002</v>
      </c>
      <c r="M1006" s="29">
        <v>8.001512951005447E8</v>
      </c>
      <c r="N1006" s="31" t="s">
        <v>1116</v>
      </c>
      <c r="O1006" s="32"/>
      <c r="P1006" s="33" t="str">
        <f t="array" ref="P1006">IFERROR(
HYPERLINK(
"https://drive.google.com/file/d/"&amp;
XLOOKUP(O1006,'Hoa-Don'!A:A,'Hoa-Don'!D:D)
&amp;"/view",
"🔎"
),
""
)</f>
        <v/>
      </c>
    </row>
    <row r="1007" ht="22.5" customHeight="1">
      <c r="A1007" s="21">
        <v>1006.0</v>
      </c>
      <c r="B1007" s="22">
        <v>44910.0</v>
      </c>
      <c r="C1007" s="23">
        <v>14.0</v>
      </c>
      <c r="D1007" s="24" t="s">
        <v>48</v>
      </c>
      <c r="E1007" s="35" t="s">
        <v>18</v>
      </c>
      <c r="F1007" s="26"/>
      <c r="G1007" s="36" t="s">
        <v>42</v>
      </c>
      <c r="H1007" s="28">
        <v>314.0</v>
      </c>
      <c r="I1007" s="28">
        <v>16898.169241613003</v>
      </c>
      <c r="J1007" s="29">
        <v>5306025.141866483</v>
      </c>
      <c r="K1007" s="29">
        <v>16898.169241613003</v>
      </c>
      <c r="L1007" s="30">
        <v>47037.36000000002</v>
      </c>
      <c r="M1007" s="29">
        <v>7.948452699586781E8</v>
      </c>
      <c r="N1007" s="31" t="s">
        <v>1117</v>
      </c>
      <c r="O1007" s="32"/>
      <c r="P1007" s="33" t="str">
        <f t="array" ref="P1007">IFERROR(
HYPERLINK(
"https://drive.google.com/file/d/"&amp;
XLOOKUP(O1007,'Hoa-Don'!A:A,'Hoa-Don'!D:D)
&amp;"/view",
"🔎"
),
""
)</f>
        <v/>
      </c>
    </row>
    <row r="1008" ht="22.5" customHeight="1">
      <c r="A1008" s="21">
        <v>1007.0</v>
      </c>
      <c r="B1008" s="22">
        <v>44911.0</v>
      </c>
      <c r="C1008" s="23">
        <v>15.0</v>
      </c>
      <c r="D1008" s="24" t="s">
        <v>48</v>
      </c>
      <c r="E1008" s="35" t="s">
        <v>18</v>
      </c>
      <c r="F1008" s="26"/>
      <c r="G1008" s="36" t="s">
        <v>42</v>
      </c>
      <c r="H1008" s="28">
        <v>680.0</v>
      </c>
      <c r="I1008" s="28">
        <v>16898.169241613003</v>
      </c>
      <c r="J1008" s="29">
        <v>1.1490755084296841E7</v>
      </c>
      <c r="K1008" s="29">
        <v>16898.169241613003</v>
      </c>
      <c r="L1008" s="30">
        <v>46357.36000000002</v>
      </c>
      <c r="M1008" s="29">
        <v>7.833545148743813E8</v>
      </c>
      <c r="N1008" s="31" t="s">
        <v>1118</v>
      </c>
      <c r="O1008" s="32"/>
      <c r="P1008" s="33" t="str">
        <f t="array" ref="P1008">IFERROR(
HYPERLINK(
"https://drive.google.com/file/d/"&amp;
XLOOKUP(O1008,'Hoa-Don'!A:A,'Hoa-Don'!D:D)
&amp;"/view",
"🔎"
),
""
)</f>
        <v/>
      </c>
    </row>
    <row r="1009" ht="22.5" customHeight="1">
      <c r="A1009" s="21">
        <v>1008.0</v>
      </c>
      <c r="B1009" s="22">
        <v>44911.0</v>
      </c>
      <c r="C1009" s="23">
        <v>15.0</v>
      </c>
      <c r="D1009" s="24" t="s">
        <v>48</v>
      </c>
      <c r="E1009" s="35" t="s">
        <v>18</v>
      </c>
      <c r="F1009" s="26"/>
      <c r="G1009" s="36" t="s">
        <v>42</v>
      </c>
      <c r="H1009" s="28">
        <v>228.0</v>
      </c>
      <c r="I1009" s="28">
        <v>16898.169241613003</v>
      </c>
      <c r="J1009" s="29">
        <v>3852782.5870877644</v>
      </c>
      <c r="K1009" s="29">
        <v>16898.169241613003</v>
      </c>
      <c r="L1009" s="30">
        <v>46129.36000000002</v>
      </c>
      <c r="M1009" s="29">
        <v>7.795017322872936E8</v>
      </c>
      <c r="N1009" s="31" t="s">
        <v>1119</v>
      </c>
      <c r="O1009" s="32"/>
      <c r="P1009" s="33" t="str">
        <f t="array" ref="P1009">IFERROR(
HYPERLINK(
"https://drive.google.com/file/d/"&amp;
XLOOKUP(O1009,'Hoa-Don'!A:A,'Hoa-Don'!D:D)
&amp;"/view",
"🔎"
),
""
)</f>
        <v/>
      </c>
    </row>
    <row r="1010" ht="22.5" customHeight="1">
      <c r="A1010" s="21">
        <v>1009.0</v>
      </c>
      <c r="B1010" s="22">
        <v>44911.0</v>
      </c>
      <c r="C1010" s="23">
        <v>15.0</v>
      </c>
      <c r="D1010" s="24" t="s">
        <v>48</v>
      </c>
      <c r="E1010" s="35" t="s">
        <v>18</v>
      </c>
      <c r="F1010" s="26"/>
      <c r="G1010" s="36" t="s">
        <v>42</v>
      </c>
      <c r="H1010" s="28">
        <v>28.0</v>
      </c>
      <c r="I1010" s="28">
        <v>16898.169241613003</v>
      </c>
      <c r="J1010" s="29">
        <v>473148.73876516405</v>
      </c>
      <c r="K1010" s="29">
        <v>16898.169241613003</v>
      </c>
      <c r="L1010" s="30">
        <v>46101.36000000002</v>
      </c>
      <c r="M1010" s="29">
        <v>7.790285835485284E8</v>
      </c>
      <c r="N1010" s="31" t="s">
        <v>1120</v>
      </c>
      <c r="O1010" s="32"/>
      <c r="P1010" s="33" t="str">
        <f t="array" ref="P1010">IFERROR(
HYPERLINK(
"https://drive.google.com/file/d/"&amp;
XLOOKUP(O1010,'Hoa-Don'!A:A,'Hoa-Don'!D:D)
&amp;"/view",
"🔎"
),
""
)</f>
        <v/>
      </c>
    </row>
    <row r="1011" ht="22.5" customHeight="1">
      <c r="A1011" s="21">
        <v>1010.0</v>
      </c>
      <c r="B1011" s="22">
        <v>44915.0</v>
      </c>
      <c r="C1011" s="23">
        <v>16.0</v>
      </c>
      <c r="D1011" s="24" t="s">
        <v>48</v>
      </c>
      <c r="E1011" s="35" t="s">
        <v>18</v>
      </c>
      <c r="F1011" s="26"/>
      <c r="G1011" s="36" t="s">
        <v>42</v>
      </c>
      <c r="H1011" s="28">
        <v>355.0</v>
      </c>
      <c r="I1011" s="28">
        <v>16898.169241613003</v>
      </c>
      <c r="J1011" s="29">
        <v>5998850.080772616</v>
      </c>
      <c r="K1011" s="29">
        <v>16898.169241613003</v>
      </c>
      <c r="L1011" s="30">
        <v>45746.36000000002</v>
      </c>
      <c r="M1011" s="29">
        <v>7.730297334677558E8</v>
      </c>
      <c r="N1011" s="31" t="s">
        <v>1121</v>
      </c>
      <c r="O1011" s="32"/>
      <c r="P1011" s="33" t="str">
        <f t="array" ref="P1011">IFERROR(
HYPERLINK(
"https://drive.google.com/file/d/"&amp;
XLOOKUP(O1011,'Hoa-Don'!A:A,'Hoa-Don'!D:D)
&amp;"/view",
"🔎"
),
""
)</f>
        <v/>
      </c>
    </row>
    <row r="1012" ht="22.5" customHeight="1">
      <c r="A1012" s="21">
        <v>1011.0</v>
      </c>
      <c r="B1012" s="22">
        <v>44915.0</v>
      </c>
      <c r="C1012" s="23">
        <v>16.0</v>
      </c>
      <c r="D1012" s="24" t="s">
        <v>48</v>
      </c>
      <c r="E1012" s="35" t="s">
        <v>18</v>
      </c>
      <c r="F1012" s="26"/>
      <c r="G1012" s="36" t="s">
        <v>42</v>
      </c>
      <c r="H1012" s="28">
        <v>10.0</v>
      </c>
      <c r="I1012" s="28">
        <v>16898.169241613003</v>
      </c>
      <c r="J1012" s="29">
        <v>168981.69241613004</v>
      </c>
      <c r="K1012" s="29">
        <v>16898.169241613003</v>
      </c>
      <c r="L1012" s="30">
        <v>45736.36000000002</v>
      </c>
      <c r="M1012" s="29">
        <v>7.728607517753396E8</v>
      </c>
      <c r="N1012" s="31" t="s">
        <v>1122</v>
      </c>
      <c r="O1012" s="32"/>
      <c r="P1012" s="33" t="str">
        <f t="array" ref="P1012">IFERROR(
HYPERLINK(
"https://drive.google.com/file/d/"&amp;
XLOOKUP(O1012,'Hoa-Don'!A:A,'Hoa-Don'!D:D)
&amp;"/view",
"🔎"
),
""
)</f>
        <v/>
      </c>
    </row>
    <row r="1013" ht="22.5" customHeight="1">
      <c r="A1013" s="21">
        <v>1012.0</v>
      </c>
      <c r="B1013" s="22">
        <v>44915.0</v>
      </c>
      <c r="C1013" s="23">
        <v>16.0</v>
      </c>
      <c r="D1013" s="24" t="s">
        <v>48</v>
      </c>
      <c r="E1013" s="35" t="s">
        <v>18</v>
      </c>
      <c r="F1013" s="26"/>
      <c r="G1013" s="36" t="s">
        <v>42</v>
      </c>
      <c r="H1013" s="28">
        <v>18.0</v>
      </c>
      <c r="I1013" s="28">
        <v>16898.169241613003</v>
      </c>
      <c r="J1013" s="29">
        <v>304167.04634903406</v>
      </c>
      <c r="K1013" s="29">
        <v>16898.169241613003</v>
      </c>
      <c r="L1013" s="30">
        <v>45718.36000000002</v>
      </c>
      <c r="M1013" s="29">
        <v>7.725565847289907E8</v>
      </c>
      <c r="N1013" s="31" t="s">
        <v>1123</v>
      </c>
      <c r="O1013" s="32"/>
      <c r="P1013" s="33" t="str">
        <f t="array" ref="P1013">IFERROR(
HYPERLINK(
"https://drive.google.com/file/d/"&amp;
XLOOKUP(O1013,'Hoa-Don'!A:A,'Hoa-Don'!D:D)
&amp;"/view",
"🔎"
),
""
)</f>
        <v/>
      </c>
    </row>
    <row r="1014" ht="22.5" customHeight="1">
      <c r="A1014" s="21">
        <v>1013.0</v>
      </c>
      <c r="B1014" s="22">
        <v>44916.0</v>
      </c>
      <c r="C1014" s="23">
        <v>17.0</v>
      </c>
      <c r="D1014" s="24" t="s">
        <v>48</v>
      </c>
      <c r="E1014" s="35" t="s">
        <v>18</v>
      </c>
      <c r="F1014" s="26"/>
      <c r="G1014" s="36" t="s">
        <v>42</v>
      </c>
      <c r="H1014" s="28">
        <v>76.0</v>
      </c>
      <c r="I1014" s="28">
        <v>16898.169241613003</v>
      </c>
      <c r="J1014" s="29">
        <v>1284260.8623625883</v>
      </c>
      <c r="K1014" s="29">
        <v>16898.169241613003</v>
      </c>
      <c r="L1014" s="30">
        <v>45642.36000000002</v>
      </c>
      <c r="M1014" s="29">
        <v>7.71272323866628E8</v>
      </c>
      <c r="N1014" s="31" t="s">
        <v>1124</v>
      </c>
      <c r="O1014" s="32"/>
      <c r="P1014" s="33" t="str">
        <f t="array" ref="P1014">IFERROR(
HYPERLINK(
"https://drive.google.com/file/d/"&amp;
XLOOKUP(O1014,'Hoa-Don'!A:A,'Hoa-Don'!D:D)
&amp;"/view",
"🔎"
),
""
)</f>
        <v/>
      </c>
    </row>
    <row r="1015" ht="22.5" customHeight="1">
      <c r="A1015" s="21">
        <v>1014.0</v>
      </c>
      <c r="B1015" s="22">
        <v>44916.0</v>
      </c>
      <c r="C1015" s="23">
        <v>17.0</v>
      </c>
      <c r="D1015" s="24" t="s">
        <v>48</v>
      </c>
      <c r="E1015" s="35" t="s">
        <v>18</v>
      </c>
      <c r="F1015" s="26"/>
      <c r="G1015" s="36" t="s">
        <v>42</v>
      </c>
      <c r="H1015" s="28">
        <v>2951.6</v>
      </c>
      <c r="I1015" s="28">
        <v>16898.169241613003</v>
      </c>
      <c r="J1015" s="29">
        <v>4.987663633354494E7</v>
      </c>
      <c r="K1015" s="29">
        <v>16898.169241613003</v>
      </c>
      <c r="L1015" s="30">
        <v>42690.760000000024</v>
      </c>
      <c r="M1015" s="29">
        <v>7.213956875330831E8</v>
      </c>
      <c r="N1015" s="31" t="s">
        <v>1125</v>
      </c>
      <c r="O1015" s="32"/>
      <c r="P1015" s="33" t="str">
        <f t="array" ref="P1015">IFERROR(
HYPERLINK(
"https://drive.google.com/file/d/"&amp;
XLOOKUP(O1015,'Hoa-Don'!A:A,'Hoa-Don'!D:D)
&amp;"/view",
"🔎"
),
""
)</f>
        <v/>
      </c>
    </row>
    <row r="1016" ht="22.5" customHeight="1">
      <c r="A1016" s="21">
        <v>1015.0</v>
      </c>
      <c r="B1016" s="22">
        <v>44916.0</v>
      </c>
      <c r="C1016" s="23">
        <v>17.0</v>
      </c>
      <c r="D1016" s="24" t="s">
        <v>48</v>
      </c>
      <c r="E1016" s="35" t="s">
        <v>18</v>
      </c>
      <c r="F1016" s="26"/>
      <c r="G1016" s="36" t="s">
        <v>42</v>
      </c>
      <c r="H1016" s="28">
        <v>78.5</v>
      </c>
      <c r="I1016" s="28">
        <v>16898.169241613003</v>
      </c>
      <c r="J1016" s="29">
        <v>1326506.2854666207</v>
      </c>
      <c r="K1016" s="29">
        <v>16898.169241613003</v>
      </c>
      <c r="L1016" s="30">
        <v>42612.260000000024</v>
      </c>
      <c r="M1016" s="29">
        <v>7.200691812476165E8</v>
      </c>
      <c r="N1016" s="31" t="s">
        <v>1126</v>
      </c>
      <c r="O1016" s="32"/>
      <c r="P1016" s="33" t="str">
        <f t="array" ref="P1016">IFERROR(
HYPERLINK(
"https://drive.google.com/file/d/"&amp;
XLOOKUP(O1016,'Hoa-Don'!A:A,'Hoa-Don'!D:D)
&amp;"/view",
"🔎"
),
""
)</f>
        <v/>
      </c>
    </row>
    <row r="1017" ht="22.5" customHeight="1">
      <c r="A1017" s="21">
        <v>1016.0</v>
      </c>
      <c r="B1017" s="22">
        <v>44916.0</v>
      </c>
      <c r="C1017" s="23">
        <v>17.0</v>
      </c>
      <c r="D1017" s="24" t="s">
        <v>48</v>
      </c>
      <c r="E1017" s="35" t="s">
        <v>18</v>
      </c>
      <c r="F1017" s="26"/>
      <c r="G1017" s="36" t="s">
        <v>42</v>
      </c>
      <c r="H1017" s="28">
        <v>170.0</v>
      </c>
      <c r="I1017" s="28">
        <v>16898.169241613003</v>
      </c>
      <c r="J1017" s="29">
        <v>2872688.7710742103</v>
      </c>
      <c r="K1017" s="29">
        <v>16898.169241613003</v>
      </c>
      <c r="L1017" s="30">
        <v>42442.260000000024</v>
      </c>
      <c r="M1017" s="29">
        <v>7.171964924765422E8</v>
      </c>
      <c r="N1017" s="31" t="s">
        <v>1127</v>
      </c>
      <c r="O1017" s="32"/>
      <c r="P1017" s="33" t="str">
        <f t="array" ref="P1017">IFERROR(
HYPERLINK(
"https://drive.google.com/file/d/"&amp;
XLOOKUP(O1017,'Hoa-Don'!A:A,'Hoa-Don'!D:D)
&amp;"/view",
"🔎"
),
""
)</f>
        <v/>
      </c>
    </row>
    <row r="1018" ht="22.5" customHeight="1">
      <c r="A1018" s="21">
        <v>1017.0</v>
      </c>
      <c r="B1018" s="22">
        <v>44917.0</v>
      </c>
      <c r="C1018" s="23">
        <v>18.0</v>
      </c>
      <c r="D1018" s="24" t="s">
        <v>48</v>
      </c>
      <c r="E1018" s="35" t="s">
        <v>18</v>
      </c>
      <c r="F1018" s="26"/>
      <c r="G1018" s="36" t="s">
        <v>42</v>
      </c>
      <c r="H1018" s="28">
        <v>646.0</v>
      </c>
      <c r="I1018" s="28">
        <v>16898.169241613003</v>
      </c>
      <c r="J1018" s="29">
        <v>1.0916217330082E7</v>
      </c>
      <c r="K1018" s="29">
        <v>16898.169241613003</v>
      </c>
      <c r="L1018" s="30">
        <v>41796.260000000024</v>
      </c>
      <c r="M1018" s="29">
        <v>7.062802751464603E8</v>
      </c>
      <c r="N1018" s="31" t="s">
        <v>1128</v>
      </c>
      <c r="O1018" s="32"/>
      <c r="P1018" s="33" t="str">
        <f t="array" ref="P1018">IFERROR(
HYPERLINK(
"https://drive.google.com/file/d/"&amp;
XLOOKUP(O1018,'Hoa-Don'!A:A,'Hoa-Don'!D:D)
&amp;"/view",
"🔎"
),
""
)</f>
        <v/>
      </c>
    </row>
    <row r="1019" ht="22.5" customHeight="1">
      <c r="A1019" s="21">
        <v>1018.0</v>
      </c>
      <c r="B1019" s="22">
        <v>44917.0</v>
      </c>
      <c r="C1019" s="23">
        <v>18.0</v>
      </c>
      <c r="D1019" s="24" t="s">
        <v>48</v>
      </c>
      <c r="E1019" s="35" t="s">
        <v>18</v>
      </c>
      <c r="F1019" s="26"/>
      <c r="G1019" s="36" t="s">
        <v>42</v>
      </c>
      <c r="H1019" s="28">
        <v>26.0</v>
      </c>
      <c r="I1019" s="28">
        <v>16898.169241613003</v>
      </c>
      <c r="J1019" s="29">
        <v>439352.4002819381</v>
      </c>
      <c r="K1019" s="29">
        <v>16898.169241613003</v>
      </c>
      <c r="L1019" s="30">
        <v>41770.260000000024</v>
      </c>
      <c r="M1019" s="29">
        <v>7.058409227461784E8</v>
      </c>
      <c r="N1019" s="31" t="s">
        <v>1129</v>
      </c>
      <c r="O1019" s="32"/>
      <c r="P1019" s="33" t="str">
        <f t="array" ref="P1019">IFERROR(
HYPERLINK(
"https://drive.google.com/file/d/"&amp;
XLOOKUP(O1019,'Hoa-Don'!A:A,'Hoa-Don'!D:D)
&amp;"/view",
"🔎"
),
""
)</f>
        <v/>
      </c>
    </row>
    <row r="1020" ht="22.5" customHeight="1">
      <c r="A1020" s="21">
        <v>1019.0</v>
      </c>
      <c r="B1020" s="22">
        <v>44960.0</v>
      </c>
      <c r="C1020" s="23">
        <v>7.0</v>
      </c>
      <c r="D1020" s="24" t="s">
        <v>155</v>
      </c>
      <c r="E1020" s="35" t="s">
        <v>18</v>
      </c>
      <c r="F1020" s="26"/>
      <c r="G1020" s="27" t="s">
        <v>38</v>
      </c>
      <c r="H1020" s="28">
        <v>6190.0</v>
      </c>
      <c r="I1020" s="28">
        <v>14272.72</v>
      </c>
      <c r="J1020" s="29">
        <v>8.83481368E7</v>
      </c>
      <c r="K1020" s="29">
        <v>16559.315140205203</v>
      </c>
      <c r="L1020" s="30">
        <v>47960.260000000024</v>
      </c>
      <c r="M1020" s="29">
        <v>7.941890595461783E8</v>
      </c>
      <c r="N1020" s="31" t="s">
        <v>1130</v>
      </c>
      <c r="O1020" s="32"/>
      <c r="P1020" s="33" t="str">
        <f t="array" ref="P1020">IFERROR(
HYPERLINK(
"https://drive.google.com/file/d/"&amp;
XLOOKUP(O1020,'Hoa-Don'!A:A,'Hoa-Don'!D:D)
&amp;"/view",
"🔎"
),
""
)</f>
        <v/>
      </c>
    </row>
    <row r="1021" ht="22.5" customHeight="1">
      <c r="A1021" s="21">
        <v>1020.0</v>
      </c>
      <c r="B1021" s="22">
        <v>44960.0</v>
      </c>
      <c r="C1021" s="23">
        <v>37.0</v>
      </c>
      <c r="D1021" s="24" t="s">
        <v>821</v>
      </c>
      <c r="E1021" s="25" t="s">
        <v>11</v>
      </c>
      <c r="F1021" s="26"/>
      <c r="G1021" s="27" t="s">
        <v>38</v>
      </c>
      <c r="H1021" s="28">
        <v>2353.0</v>
      </c>
      <c r="I1021" s="28">
        <v>15636.36</v>
      </c>
      <c r="J1021" s="29">
        <v>3.679235508E7</v>
      </c>
      <c r="K1021" s="29">
        <v>16500.35970216135</v>
      </c>
      <c r="L1021" s="30">
        <v>45535.41999999999</v>
      </c>
      <c r="M1021" s="29">
        <v>7.513508091889918E8</v>
      </c>
      <c r="N1021" s="31" t="s">
        <v>1131</v>
      </c>
      <c r="O1021" s="32"/>
      <c r="P1021" s="33" t="str">
        <f t="array" ref="P1021">IFERROR(
HYPERLINK(
"https://drive.google.com/file/d/"&amp;
XLOOKUP(O1021,'Hoa-Don'!A:A,'Hoa-Don'!D:D)
&amp;"/view",
"🔎"
),
""
)</f>
        <v/>
      </c>
    </row>
    <row r="1022" ht="22.5" customHeight="1">
      <c r="A1022" s="21">
        <v>1021.0</v>
      </c>
      <c r="B1022" s="22">
        <v>44961.0</v>
      </c>
      <c r="C1022" s="23">
        <v>39.0</v>
      </c>
      <c r="D1022" s="24" t="s">
        <v>253</v>
      </c>
      <c r="E1022" s="25" t="s">
        <v>11</v>
      </c>
      <c r="F1022" s="26"/>
      <c r="G1022" s="27" t="s">
        <v>38</v>
      </c>
      <c r="H1022" s="28">
        <v>1430.0</v>
      </c>
      <c r="I1022" s="28">
        <v>15818.18</v>
      </c>
      <c r="J1022" s="29">
        <v>2.2619997400000002E7</v>
      </c>
      <c r="K1022" s="29">
        <v>16479.588739736424</v>
      </c>
      <c r="L1022" s="30">
        <v>46965.41999999999</v>
      </c>
      <c r="M1022" s="29">
        <v>7.739708065889918E8</v>
      </c>
      <c r="N1022" s="31" t="s">
        <v>1132</v>
      </c>
      <c r="O1022" s="32"/>
      <c r="P1022" s="33" t="str">
        <f t="array" ref="P1022">IFERROR(
HYPERLINK(
"https://drive.google.com/file/d/"&amp;
XLOOKUP(O1022,'Hoa-Don'!A:A,'Hoa-Don'!D:D)
&amp;"/view",
"🔎"
),
""
)</f>
        <v/>
      </c>
    </row>
    <row r="1023" ht="22.5" customHeight="1">
      <c r="A1023" s="21">
        <v>1022.0</v>
      </c>
      <c r="B1023" s="22">
        <v>44961.0</v>
      </c>
      <c r="C1023" s="23">
        <v>39.0</v>
      </c>
      <c r="D1023" s="24" t="s">
        <v>253</v>
      </c>
      <c r="E1023" s="25" t="s">
        <v>11</v>
      </c>
      <c r="F1023" s="26"/>
      <c r="G1023" s="27" t="s">
        <v>38</v>
      </c>
      <c r="H1023" s="28">
        <v>2236.0</v>
      </c>
      <c r="I1023" s="28">
        <v>16545.45</v>
      </c>
      <c r="J1023" s="29">
        <v>3.69956262E7</v>
      </c>
      <c r="K1023" s="29">
        <v>16482.581860218506</v>
      </c>
      <c r="L1023" s="30">
        <v>49201.41999999999</v>
      </c>
      <c r="M1023" s="29">
        <v>8.109664327889918E8</v>
      </c>
      <c r="N1023" s="31" t="s">
        <v>1133</v>
      </c>
      <c r="O1023" s="32"/>
      <c r="P1023" s="33" t="str">
        <f t="array" ref="P1023">IFERROR(
HYPERLINK(
"https://drive.google.com/file/d/"&amp;
XLOOKUP(O1023,'Hoa-Don'!A:A,'Hoa-Don'!D:D)
&amp;"/view",
"🔎"
),
""
)</f>
        <v/>
      </c>
    </row>
    <row r="1024" ht="22.5" customHeight="1">
      <c r="A1024" s="21">
        <v>1023.0</v>
      </c>
      <c r="B1024" s="22">
        <v>44963.0</v>
      </c>
      <c r="C1024" s="23">
        <v>9.0</v>
      </c>
      <c r="D1024" s="24" t="s">
        <v>155</v>
      </c>
      <c r="E1024" s="35" t="s">
        <v>18</v>
      </c>
      <c r="F1024" s="26"/>
      <c r="G1024" s="27" t="s">
        <v>38</v>
      </c>
      <c r="H1024" s="28">
        <v>2704.0</v>
      </c>
      <c r="I1024" s="28">
        <v>14545.45</v>
      </c>
      <c r="J1024" s="29">
        <v>3.9330896800000004E7</v>
      </c>
      <c r="K1024" s="29">
        <v>16451.833232068875</v>
      </c>
      <c r="L1024" s="30">
        <v>50664.260000000024</v>
      </c>
      <c r="M1024" s="29">
        <v>8.335199563461783E8</v>
      </c>
      <c r="N1024" s="31" t="s">
        <v>1134</v>
      </c>
      <c r="O1024" s="32"/>
      <c r="P1024" s="33" t="str">
        <f t="array" ref="P1024">IFERROR(
HYPERLINK(
"https://drive.google.com/file/d/"&amp;
XLOOKUP(O1024,'Hoa-Don'!A:A,'Hoa-Don'!D:D)
&amp;"/view",
"🔎"
),
""
)</f>
        <v/>
      </c>
    </row>
    <row r="1025" ht="22.5" customHeight="1">
      <c r="A1025" s="21">
        <v>1024.0</v>
      </c>
      <c r="B1025" s="22">
        <v>44964.0</v>
      </c>
      <c r="C1025" s="23">
        <v>1.0</v>
      </c>
      <c r="D1025" s="24" t="s">
        <v>1135</v>
      </c>
      <c r="E1025" s="35" t="s">
        <v>18</v>
      </c>
      <c r="F1025" s="26"/>
      <c r="G1025" s="36" t="s">
        <v>42</v>
      </c>
      <c r="H1025" s="28">
        <v>652.4</v>
      </c>
      <c r="I1025" s="28">
        <v>16451.833232068875</v>
      </c>
      <c r="J1025" s="29">
        <v>1.0733176000601733E7</v>
      </c>
      <c r="K1025" s="29">
        <v>16451.833232068875</v>
      </c>
      <c r="L1025" s="30">
        <v>50011.86000000002</v>
      </c>
      <c r="M1025" s="29">
        <v>8.227867803455764E8</v>
      </c>
      <c r="N1025" s="31" t="s">
        <v>1136</v>
      </c>
      <c r="O1025" s="32"/>
      <c r="P1025" s="33" t="str">
        <f t="array" ref="P1025">IFERROR(
HYPERLINK(
"https://drive.google.com/file/d/"&amp;
XLOOKUP(O1025,'Hoa-Don'!A:A,'Hoa-Don'!D:D)
&amp;"/view",
"🔎"
),
""
)</f>
        <v/>
      </c>
    </row>
    <row r="1026" ht="22.5" customHeight="1">
      <c r="A1026" s="21">
        <v>1025.0</v>
      </c>
      <c r="B1026" s="22">
        <v>44964.0</v>
      </c>
      <c r="C1026" s="23">
        <v>1.0</v>
      </c>
      <c r="D1026" s="24" t="s">
        <v>1135</v>
      </c>
      <c r="E1026" s="25" t="s">
        <v>11</v>
      </c>
      <c r="F1026" s="26"/>
      <c r="G1026" s="36" t="s">
        <v>42</v>
      </c>
      <c r="H1026" s="28">
        <v>265.0</v>
      </c>
      <c r="I1026" s="28">
        <v>16482.581860218506</v>
      </c>
      <c r="J1026" s="29">
        <v>4367884.192957904</v>
      </c>
      <c r="K1026" s="29">
        <v>16482.581860218506</v>
      </c>
      <c r="L1026" s="30">
        <v>48936.41999999999</v>
      </c>
      <c r="M1026" s="29">
        <v>8.065985485960339E8</v>
      </c>
      <c r="N1026" s="31" t="s">
        <v>1137</v>
      </c>
      <c r="O1026" s="32"/>
      <c r="P1026" s="33" t="str">
        <f t="array" ref="P1026">IFERROR(
HYPERLINK(
"https://drive.google.com/file/d/"&amp;
XLOOKUP(O1026,'Hoa-Don'!A:A,'Hoa-Don'!D:D)
&amp;"/view",
"🔎"
),
""
)</f>
        <v/>
      </c>
    </row>
    <row r="1027" ht="22.5" customHeight="1">
      <c r="A1027" s="21">
        <v>1026.0</v>
      </c>
      <c r="B1027" s="22">
        <v>44964.0</v>
      </c>
      <c r="C1027" s="23">
        <v>1.0</v>
      </c>
      <c r="D1027" s="24" t="s">
        <v>1135</v>
      </c>
      <c r="E1027" s="25" t="s">
        <v>11</v>
      </c>
      <c r="F1027" s="26"/>
      <c r="G1027" s="36" t="s">
        <v>42</v>
      </c>
      <c r="H1027" s="28">
        <v>65.0</v>
      </c>
      <c r="I1027" s="28">
        <v>16482.581860218506</v>
      </c>
      <c r="J1027" s="29">
        <v>1071367.8209142028</v>
      </c>
      <c r="K1027" s="29">
        <v>16482.581860218506</v>
      </c>
      <c r="L1027" s="30">
        <v>48871.41999999999</v>
      </c>
      <c r="M1027" s="29">
        <v>8.055271807751198E8</v>
      </c>
      <c r="N1027" s="31" t="s">
        <v>1138</v>
      </c>
      <c r="O1027" s="32"/>
      <c r="P1027" s="33" t="str">
        <f t="array" ref="P1027">IFERROR(
HYPERLINK(
"https://drive.google.com/file/d/"&amp;
XLOOKUP(O1027,'Hoa-Don'!A:A,'Hoa-Don'!D:D)
&amp;"/view",
"🔎"
),
""
)</f>
        <v/>
      </c>
    </row>
    <row r="1028" ht="22.5" customHeight="1">
      <c r="A1028" s="21">
        <v>1027.0</v>
      </c>
      <c r="B1028" s="22">
        <v>44985.0</v>
      </c>
      <c r="C1028" s="23">
        <v>21.0</v>
      </c>
      <c r="D1028" s="24" t="s">
        <v>155</v>
      </c>
      <c r="E1028" s="35" t="s">
        <v>18</v>
      </c>
      <c r="F1028" s="26"/>
      <c r="G1028" s="27" t="s">
        <v>38</v>
      </c>
      <c r="H1028" s="28">
        <v>2002.0</v>
      </c>
      <c r="I1028" s="28">
        <v>14857.5</v>
      </c>
      <c r="J1028" s="29">
        <v>2.9744715E7</v>
      </c>
      <c r="K1028" s="29">
        <v>16390.467758893035</v>
      </c>
      <c r="L1028" s="30">
        <v>52013.86000000002</v>
      </c>
      <c r="M1028" s="29">
        <v>8.525314953455764E8</v>
      </c>
      <c r="N1028" s="31" t="s">
        <v>1139</v>
      </c>
      <c r="O1028" s="32"/>
      <c r="P1028" s="33" t="str">
        <f t="array" ref="P1028">IFERROR(
HYPERLINK(
"https://drive.google.com/file/d/"&amp;
XLOOKUP(O1028,'Hoa-Don'!A:A,'Hoa-Don'!D:D)
&amp;"/view",
"🔎"
),
""
)</f>
        <v/>
      </c>
    </row>
    <row r="1029" ht="22.5" customHeight="1">
      <c r="A1029" s="21">
        <v>1028.0</v>
      </c>
      <c r="B1029" s="22">
        <v>44988.0</v>
      </c>
      <c r="C1029" s="23">
        <v>2.0</v>
      </c>
      <c r="D1029" s="24" t="s">
        <v>1140</v>
      </c>
      <c r="E1029" s="35" t="s">
        <v>18</v>
      </c>
      <c r="F1029" s="26"/>
      <c r="G1029" s="36" t="s">
        <v>42</v>
      </c>
      <c r="H1029" s="28">
        <v>85.0</v>
      </c>
      <c r="I1029" s="28">
        <v>16390.467758893035</v>
      </c>
      <c r="J1029" s="29">
        <v>1393189.759505908</v>
      </c>
      <c r="K1029" s="29">
        <v>16390.467758893035</v>
      </c>
      <c r="L1029" s="30">
        <v>51928.86000000002</v>
      </c>
      <c r="M1029" s="29">
        <v>8.511383055860705E8</v>
      </c>
      <c r="N1029" s="31" t="s">
        <v>1141</v>
      </c>
      <c r="O1029" s="32"/>
      <c r="P1029" s="33" t="str">
        <f t="array" ref="P1029">IFERROR(
HYPERLINK(
"https://drive.google.com/file/d/"&amp;
XLOOKUP(O1029,'Hoa-Don'!A:A,'Hoa-Don'!D:D)
&amp;"/view",
"🔎"
),
""
)</f>
        <v/>
      </c>
    </row>
    <row r="1030" ht="22.5" customHeight="1">
      <c r="A1030" s="21">
        <v>1029.0</v>
      </c>
      <c r="B1030" s="22">
        <v>44993.0</v>
      </c>
      <c r="C1030" s="23">
        <v>25.0</v>
      </c>
      <c r="D1030" s="24" t="s">
        <v>155</v>
      </c>
      <c r="E1030" s="35" t="s">
        <v>18</v>
      </c>
      <c r="F1030" s="26"/>
      <c r="G1030" s="27" t="s">
        <v>38</v>
      </c>
      <c r="H1030" s="28">
        <v>7870.0</v>
      </c>
      <c r="I1030" s="28">
        <v>14477.32</v>
      </c>
      <c r="J1030" s="29">
        <v>1.1393650839999999E8</v>
      </c>
      <c r="K1030" s="29">
        <v>16138.682476322629</v>
      </c>
      <c r="L1030" s="30">
        <v>59798.86000000002</v>
      </c>
      <c r="M1030" s="29">
        <v>9.650748139860705E8</v>
      </c>
      <c r="N1030" s="31" t="s">
        <v>1142</v>
      </c>
      <c r="O1030" s="32"/>
      <c r="P1030" s="33" t="str">
        <f t="array" ref="P1030">IFERROR(
HYPERLINK(
"https://drive.google.com/file/d/"&amp;
XLOOKUP(O1030,'Hoa-Don'!A:A,'Hoa-Don'!D:D)
&amp;"/view",
"🔎"
),
""
)</f>
        <v/>
      </c>
    </row>
    <row r="1031" ht="22.5" customHeight="1">
      <c r="A1031" s="21">
        <v>1030.0</v>
      </c>
      <c r="B1031" s="22">
        <v>44993.0</v>
      </c>
      <c r="C1031" s="23">
        <v>3.0</v>
      </c>
      <c r="D1031" s="24" t="s">
        <v>115</v>
      </c>
      <c r="E1031" s="35" t="s">
        <v>18</v>
      </c>
      <c r="F1031" s="26"/>
      <c r="G1031" s="36" t="s">
        <v>42</v>
      </c>
      <c r="H1031" s="28">
        <v>365.28</v>
      </c>
      <c r="I1031" s="28">
        <v>16138.682476322629</v>
      </c>
      <c r="J1031" s="29">
        <v>5895137.934951129</v>
      </c>
      <c r="K1031" s="29">
        <v>16138.682476322629</v>
      </c>
      <c r="L1031" s="30">
        <v>59433.58000000002</v>
      </c>
      <c r="M1031" s="29">
        <v>9.591796760511194E8</v>
      </c>
      <c r="N1031" s="31" t="s">
        <v>1143</v>
      </c>
      <c r="O1031" s="32"/>
      <c r="P1031" s="33" t="str">
        <f t="array" ref="P1031">IFERROR(
HYPERLINK(
"https://drive.google.com/file/d/"&amp;
XLOOKUP(O1031,'Hoa-Don'!A:A,'Hoa-Don'!D:D)
&amp;"/view",
"🔎"
),
""
)</f>
        <v/>
      </c>
    </row>
    <row r="1032" ht="22.5" customHeight="1">
      <c r="A1032" s="21">
        <v>1031.0</v>
      </c>
      <c r="B1032" s="22">
        <v>45002.0</v>
      </c>
      <c r="C1032" s="23">
        <v>4.0</v>
      </c>
      <c r="D1032" s="24" t="s">
        <v>115</v>
      </c>
      <c r="E1032" s="35" t="s">
        <v>18</v>
      </c>
      <c r="F1032" s="26"/>
      <c r="G1032" s="36" t="s">
        <v>42</v>
      </c>
      <c r="H1032" s="28">
        <v>227.0</v>
      </c>
      <c r="I1032" s="28">
        <v>16138.682476322629</v>
      </c>
      <c r="J1032" s="29">
        <v>3663480.9221252366</v>
      </c>
      <c r="K1032" s="29">
        <v>16138.682476322629</v>
      </c>
      <c r="L1032" s="30">
        <v>59206.58000000002</v>
      </c>
      <c r="M1032" s="29">
        <v>9.555161951289942E8</v>
      </c>
      <c r="N1032" s="31" t="s">
        <v>1144</v>
      </c>
      <c r="O1032" s="32"/>
      <c r="P1032" s="33" t="str">
        <f t="array" ref="P1032">IFERROR(
HYPERLINK(
"https://drive.google.com/file/d/"&amp;
XLOOKUP(O1032,'Hoa-Don'!A:A,'Hoa-Don'!D:D)
&amp;"/view",
"🔎"
),
""
)</f>
        <v/>
      </c>
    </row>
    <row r="1033" ht="22.5" customHeight="1">
      <c r="A1033" s="21">
        <v>1032.0</v>
      </c>
      <c r="B1033" s="22">
        <v>45002.0</v>
      </c>
      <c r="C1033" s="23">
        <v>4.0</v>
      </c>
      <c r="D1033" s="24" t="s">
        <v>115</v>
      </c>
      <c r="E1033" s="35" t="s">
        <v>18</v>
      </c>
      <c r="F1033" s="26"/>
      <c r="G1033" s="36" t="s">
        <v>42</v>
      </c>
      <c r="H1033" s="28">
        <v>440.8</v>
      </c>
      <c r="I1033" s="28">
        <v>16138.682476322629</v>
      </c>
      <c r="J1033" s="29">
        <v>7113931.235563015</v>
      </c>
      <c r="K1033" s="29">
        <v>16138.682476322629</v>
      </c>
      <c r="L1033" s="30">
        <v>58765.78000000002</v>
      </c>
      <c r="M1033" s="29">
        <v>9.484022638934312E8</v>
      </c>
      <c r="N1033" s="31" t="s">
        <v>1145</v>
      </c>
      <c r="O1033" s="32"/>
      <c r="P1033" s="33" t="str">
        <f t="array" ref="P1033">IFERROR(
HYPERLINK(
"https://drive.google.com/file/d/"&amp;
XLOOKUP(O1033,'Hoa-Don'!A:A,'Hoa-Don'!D:D)
&amp;"/view",
"🔎"
),
""
)</f>
        <v/>
      </c>
    </row>
    <row r="1034" ht="22.5" customHeight="1">
      <c r="A1034" s="21">
        <v>1033.0</v>
      </c>
      <c r="B1034" s="22">
        <v>45024.0</v>
      </c>
      <c r="C1034" s="23">
        <v>18.0</v>
      </c>
      <c r="D1034" s="24" t="s">
        <v>950</v>
      </c>
      <c r="E1034" s="35" t="s">
        <v>18</v>
      </c>
      <c r="F1034" s="26"/>
      <c r="G1034" s="27" t="s">
        <v>38</v>
      </c>
      <c r="H1034" s="28">
        <v>2998.0</v>
      </c>
      <c r="I1034" s="28">
        <v>14363.64</v>
      </c>
      <c r="J1034" s="29">
        <v>4.306219272E7</v>
      </c>
      <c r="K1034" s="29">
        <v>16052.522313456704</v>
      </c>
      <c r="L1034" s="30">
        <v>61763.78000000002</v>
      </c>
      <c r="M1034" s="29">
        <v>9.914644566134312E8</v>
      </c>
      <c r="N1034" s="31" t="s">
        <v>1146</v>
      </c>
      <c r="O1034" s="32"/>
      <c r="P1034" s="33" t="str">
        <f t="array" ref="P1034">IFERROR(
HYPERLINK(
"https://drive.google.com/file/d/"&amp;
XLOOKUP(O1034,'Hoa-Don'!A:A,'Hoa-Don'!D:D)
&amp;"/view",
"🔎"
),
""
)</f>
        <v/>
      </c>
    </row>
    <row r="1035" ht="22.5" customHeight="1">
      <c r="A1035" s="21">
        <v>1034.0</v>
      </c>
      <c r="B1035" s="22">
        <v>45026.0</v>
      </c>
      <c r="C1035" s="23">
        <v>5.0</v>
      </c>
      <c r="D1035" s="24" t="s">
        <v>1140</v>
      </c>
      <c r="E1035" s="35" t="s">
        <v>18</v>
      </c>
      <c r="F1035" s="26"/>
      <c r="G1035" s="36" t="s">
        <v>42</v>
      </c>
      <c r="H1035" s="28">
        <v>764.5</v>
      </c>
      <c r="I1035" s="28">
        <v>16052.522313456704</v>
      </c>
      <c r="J1035" s="29">
        <v>1.227215330863765E7</v>
      </c>
      <c r="K1035" s="29">
        <v>16052.522313456704</v>
      </c>
      <c r="L1035" s="30">
        <v>60999.28000000002</v>
      </c>
      <c r="M1035" s="29">
        <v>9.791923033047936E8</v>
      </c>
      <c r="N1035" s="31" t="s">
        <v>1147</v>
      </c>
      <c r="O1035" s="32"/>
      <c r="P1035" s="33" t="str">
        <f t="array" ref="P1035">IFERROR(
HYPERLINK(
"https://drive.google.com/file/d/"&amp;
XLOOKUP(O1035,'Hoa-Don'!A:A,'Hoa-Don'!D:D)
&amp;"/view",
"🔎"
),
""
)</f>
        <v/>
      </c>
    </row>
    <row r="1036" ht="22.5" customHeight="1">
      <c r="A1036" s="21">
        <v>1035.0</v>
      </c>
      <c r="B1036" s="22">
        <v>45027.0</v>
      </c>
      <c r="C1036" s="23">
        <v>6.0</v>
      </c>
      <c r="D1036" s="24" t="s">
        <v>1140</v>
      </c>
      <c r="E1036" s="35" t="s">
        <v>18</v>
      </c>
      <c r="F1036" s="26"/>
      <c r="G1036" s="36" t="s">
        <v>42</v>
      </c>
      <c r="H1036" s="28">
        <v>790.5</v>
      </c>
      <c r="I1036" s="28">
        <v>16052.522313456704</v>
      </c>
      <c r="J1036" s="29">
        <v>1.2689518888787525E7</v>
      </c>
      <c r="K1036" s="29">
        <v>16052.522313456704</v>
      </c>
      <c r="L1036" s="30">
        <v>60208.78000000002</v>
      </c>
      <c r="M1036" s="29">
        <v>9.665027844160061E8</v>
      </c>
      <c r="N1036" s="31" t="s">
        <v>1148</v>
      </c>
      <c r="O1036" s="32"/>
      <c r="P1036" s="33" t="str">
        <f t="array" ref="P1036">IFERROR(
HYPERLINK(
"https://drive.google.com/file/d/"&amp;
XLOOKUP(O1036,'Hoa-Don'!A:A,'Hoa-Don'!D:D)
&amp;"/view",
"🔎"
),
""
)</f>
        <v/>
      </c>
    </row>
    <row r="1037" ht="22.5" customHeight="1">
      <c r="A1037" s="21">
        <v>1036.0</v>
      </c>
      <c r="B1037" s="22">
        <v>45028.0</v>
      </c>
      <c r="C1037" s="23">
        <v>7.0</v>
      </c>
      <c r="D1037" s="24" t="s">
        <v>1140</v>
      </c>
      <c r="E1037" s="35" t="s">
        <v>18</v>
      </c>
      <c r="F1037" s="26"/>
      <c r="G1037" s="36" t="s">
        <v>42</v>
      </c>
      <c r="H1037" s="28">
        <v>857.2</v>
      </c>
      <c r="I1037" s="28">
        <v>16052.522313456704</v>
      </c>
      <c r="J1037" s="29">
        <v>1.3760222127095088E7</v>
      </c>
      <c r="K1037" s="29">
        <v>16052.522313456704</v>
      </c>
      <c r="L1037" s="30">
        <v>59351.58000000002</v>
      </c>
      <c r="M1037" s="29">
        <v>9.52742562288911E8</v>
      </c>
      <c r="N1037" s="31" t="s">
        <v>1149</v>
      </c>
      <c r="O1037" s="32"/>
      <c r="P1037" s="33" t="str">
        <f t="array" ref="P1037">IFERROR(
HYPERLINK(
"https://drive.google.com/file/d/"&amp;
XLOOKUP(O1037,'Hoa-Don'!A:A,'Hoa-Don'!D:D)
&amp;"/view",
"🔎"
),
""
)</f>
        <v/>
      </c>
    </row>
    <row r="1038" ht="22.5" customHeight="1">
      <c r="A1038" s="21">
        <v>1037.0</v>
      </c>
      <c r="B1038" s="22">
        <v>45029.0</v>
      </c>
      <c r="C1038" s="23">
        <v>230.0</v>
      </c>
      <c r="D1038" s="24" t="s">
        <v>821</v>
      </c>
      <c r="E1038" s="25" t="s">
        <v>11</v>
      </c>
      <c r="F1038" s="26"/>
      <c r="G1038" s="27" t="s">
        <v>38</v>
      </c>
      <c r="H1038" s="28">
        <v>745.0</v>
      </c>
      <c r="I1038" s="28">
        <v>16727.27</v>
      </c>
      <c r="J1038" s="29">
        <v>1.246181615E7</v>
      </c>
      <c r="K1038" s="29">
        <v>16486.255899259155</v>
      </c>
      <c r="L1038" s="30">
        <v>49616.41999999999</v>
      </c>
      <c r="M1038" s="29">
        <v>8.179889969251198E8</v>
      </c>
      <c r="N1038" s="31" t="s">
        <v>1150</v>
      </c>
      <c r="O1038" s="32"/>
      <c r="P1038" s="33" t="str">
        <f t="array" ref="P1038">IFERROR(
HYPERLINK(
"https://drive.google.com/file/d/"&amp;
XLOOKUP(O1038,'Hoa-Don'!A:A,'Hoa-Don'!D:D)
&amp;"/view",
"🔎"
),
""
)</f>
        <v/>
      </c>
    </row>
    <row r="1039" ht="22.5" customHeight="1">
      <c r="A1039" s="21">
        <v>1038.0</v>
      </c>
      <c r="B1039" s="22">
        <v>45029.0</v>
      </c>
      <c r="C1039" s="23">
        <v>8.0</v>
      </c>
      <c r="D1039" s="24" t="s">
        <v>1140</v>
      </c>
      <c r="E1039" s="35" t="s">
        <v>18</v>
      </c>
      <c r="F1039" s="26"/>
      <c r="G1039" s="36" t="s">
        <v>42</v>
      </c>
      <c r="H1039" s="28">
        <v>243.8</v>
      </c>
      <c r="I1039" s="28">
        <v>16052.522313456704</v>
      </c>
      <c r="J1039" s="29">
        <v>3913604.9400207447</v>
      </c>
      <c r="K1039" s="29">
        <v>16052.522313456704</v>
      </c>
      <c r="L1039" s="30">
        <v>59107.78000000002</v>
      </c>
      <c r="M1039" s="29">
        <v>9.488289573488902E8</v>
      </c>
      <c r="N1039" s="31" t="s">
        <v>1151</v>
      </c>
      <c r="O1039" s="32"/>
      <c r="P1039" s="33" t="str">
        <f t="array" ref="P1039">IFERROR(
HYPERLINK(
"https://drive.google.com/file/d/"&amp;
XLOOKUP(O1039,'Hoa-Don'!A:A,'Hoa-Don'!D:D)
&amp;"/view",
"🔎"
),
""
)</f>
        <v/>
      </c>
    </row>
    <row r="1040" ht="22.5" customHeight="1">
      <c r="A1040" s="21">
        <v>1039.0</v>
      </c>
      <c r="B1040" s="22">
        <v>45041.0</v>
      </c>
      <c r="C1040" s="23">
        <v>99.0</v>
      </c>
      <c r="D1040" s="24" t="s">
        <v>725</v>
      </c>
      <c r="E1040" s="35" t="s">
        <v>18</v>
      </c>
      <c r="F1040" s="26"/>
      <c r="G1040" s="27" t="s">
        <v>38</v>
      </c>
      <c r="H1040" s="28">
        <v>6308.0</v>
      </c>
      <c r="I1040" s="28">
        <v>14378.18</v>
      </c>
      <c r="J1040" s="29">
        <v>9.069755944E7</v>
      </c>
      <c r="K1040" s="29">
        <v>15891.066601802957</v>
      </c>
      <c r="L1040" s="30">
        <v>65415.78000000002</v>
      </c>
      <c r="M1040" s="29">
        <v>1.0395265167888901E9</v>
      </c>
      <c r="N1040" s="31" t="s">
        <v>1152</v>
      </c>
      <c r="O1040" s="32"/>
      <c r="P1040" s="33" t="str">
        <f t="array" ref="P1040">IFERROR(
HYPERLINK(
"https://drive.google.com/file/d/"&amp;
XLOOKUP(O1040,'Hoa-Don'!A:A,'Hoa-Don'!D:D)
&amp;"/view",
"🔎"
),
""
)</f>
        <v/>
      </c>
    </row>
    <row r="1041" ht="22.5" customHeight="1">
      <c r="A1041" s="21">
        <v>1040.0</v>
      </c>
      <c r="B1041" s="22">
        <v>45043.0</v>
      </c>
      <c r="C1041" s="23">
        <v>52.0</v>
      </c>
      <c r="D1041" s="24" t="s">
        <v>155</v>
      </c>
      <c r="E1041" s="35" t="s">
        <v>18</v>
      </c>
      <c r="F1041" s="26"/>
      <c r="G1041" s="27" t="s">
        <v>38</v>
      </c>
      <c r="H1041" s="28">
        <v>1216.0</v>
      </c>
      <c r="I1041" s="28">
        <v>14090.9</v>
      </c>
      <c r="J1041" s="29">
        <v>1.71345344E7</v>
      </c>
      <c r="K1041" s="29">
        <v>15858.214371413906</v>
      </c>
      <c r="L1041" s="30">
        <v>66631.78000000003</v>
      </c>
      <c r="M1041" s="29">
        <v>1.0566610511888901E9</v>
      </c>
      <c r="N1041" s="31" t="s">
        <v>1153</v>
      </c>
      <c r="O1041" s="32"/>
      <c r="P1041" s="33" t="str">
        <f t="array" ref="P1041">IFERROR(
HYPERLINK(
"https://drive.google.com/file/d/"&amp;
XLOOKUP(O1041,'Hoa-Don'!A:A,'Hoa-Don'!D:D)
&amp;"/view",
"🔎"
),
""
)</f>
        <v/>
      </c>
    </row>
    <row r="1042" ht="22.5" customHeight="1">
      <c r="A1042" s="21">
        <v>1041.0</v>
      </c>
      <c r="B1042" s="22">
        <v>45044.0</v>
      </c>
      <c r="C1042" s="23">
        <v>265.0</v>
      </c>
      <c r="D1042" s="24" t="s">
        <v>821</v>
      </c>
      <c r="E1042" s="25" t="s">
        <v>11</v>
      </c>
      <c r="F1042" s="26"/>
      <c r="G1042" s="27" t="s">
        <v>38</v>
      </c>
      <c r="H1042" s="28">
        <v>891.0</v>
      </c>
      <c r="I1042" s="28">
        <v>16545.45</v>
      </c>
      <c r="J1042" s="29">
        <v>1.4741995950000001E7</v>
      </c>
      <c r="K1042" s="29">
        <v>16487.30014075397</v>
      </c>
      <c r="L1042" s="30">
        <v>50507.41999999999</v>
      </c>
      <c r="M1042" s="29">
        <v>8.327309928751198E8</v>
      </c>
      <c r="N1042" s="31" t="s">
        <v>1154</v>
      </c>
      <c r="O1042" s="32"/>
      <c r="P1042" s="33" t="str">
        <f t="array" ref="P1042">IFERROR(
HYPERLINK(
"https://drive.google.com/file/d/"&amp;
XLOOKUP(O1042,'Hoa-Don'!A:A,'Hoa-Don'!D:D)
&amp;"/view",
"🔎"
),
""
)</f>
        <v/>
      </c>
    </row>
    <row r="1043" ht="22.5" customHeight="1">
      <c r="A1043" s="21">
        <v>1042.0</v>
      </c>
      <c r="B1043" s="22">
        <v>45051.0</v>
      </c>
      <c r="C1043" s="23">
        <v>9.0</v>
      </c>
      <c r="D1043" s="24" t="s">
        <v>935</v>
      </c>
      <c r="E1043" s="35" t="s">
        <v>18</v>
      </c>
      <c r="F1043" s="26"/>
      <c r="G1043" s="36" t="s">
        <v>42</v>
      </c>
      <c r="H1043" s="28">
        <v>39.0</v>
      </c>
      <c r="I1043" s="28">
        <v>15858.214371413906</v>
      </c>
      <c r="J1043" s="29">
        <v>618470.3604851423</v>
      </c>
      <c r="K1043" s="29">
        <v>15858.214371413906</v>
      </c>
      <c r="L1043" s="30">
        <v>66592.78000000003</v>
      </c>
      <c r="M1043" s="29">
        <v>1.0560425808284049E9</v>
      </c>
      <c r="N1043" s="31" t="s">
        <v>1155</v>
      </c>
      <c r="O1043" s="32"/>
      <c r="P1043" s="33" t="str">
        <f t="array" ref="P1043">IFERROR(
HYPERLINK(
"https://drive.google.com/file/d/"&amp;
XLOOKUP(O1043,'Hoa-Don'!A:A,'Hoa-Don'!D:D)
&amp;"/view",
"🔎"
),
""
)</f>
        <v/>
      </c>
    </row>
    <row r="1044" ht="22.5" customHeight="1">
      <c r="A1044" s="21">
        <v>1043.0</v>
      </c>
      <c r="B1044" s="22">
        <v>45051.0</v>
      </c>
      <c r="C1044" s="23">
        <v>9.0</v>
      </c>
      <c r="D1044" s="24" t="s">
        <v>935</v>
      </c>
      <c r="E1044" s="35" t="s">
        <v>18</v>
      </c>
      <c r="F1044" s="26"/>
      <c r="G1044" s="36" t="s">
        <v>42</v>
      </c>
      <c r="H1044" s="28">
        <v>103.5</v>
      </c>
      <c r="I1044" s="28">
        <v>15858.214371413906</v>
      </c>
      <c r="J1044" s="29">
        <v>1641325.1874413393</v>
      </c>
      <c r="K1044" s="29">
        <v>15858.214371413906</v>
      </c>
      <c r="L1044" s="30">
        <v>66489.28000000003</v>
      </c>
      <c r="M1044" s="29">
        <v>1.0544012556409636E9</v>
      </c>
      <c r="N1044" s="31" t="s">
        <v>1156</v>
      </c>
      <c r="O1044" s="32"/>
      <c r="P1044" s="33" t="str">
        <f t="array" ref="P1044">IFERROR(
HYPERLINK(
"https://drive.google.com/file/d/"&amp;
XLOOKUP(O1044,'Hoa-Don'!A:A,'Hoa-Don'!D:D)
&amp;"/view",
"🔎"
),
""
)</f>
        <v/>
      </c>
    </row>
    <row r="1045" ht="22.5" customHeight="1">
      <c r="A1045" s="21">
        <v>1044.0</v>
      </c>
      <c r="B1045" s="22">
        <v>45055.0</v>
      </c>
      <c r="C1045" s="23">
        <v>281.0</v>
      </c>
      <c r="D1045" s="24" t="s">
        <v>821</v>
      </c>
      <c r="E1045" s="25" t="s">
        <v>11</v>
      </c>
      <c r="F1045" s="26"/>
      <c r="G1045" s="27" t="s">
        <v>38</v>
      </c>
      <c r="H1045" s="28">
        <v>1291.0</v>
      </c>
      <c r="I1045" s="28">
        <v>16454.55</v>
      </c>
      <c r="J1045" s="29">
        <v>2.124282405E7</v>
      </c>
      <c r="K1045" s="29">
        <v>16486.483891306336</v>
      </c>
      <c r="L1045" s="30">
        <v>51798.41999999999</v>
      </c>
      <c r="M1045" s="29">
        <v>8.539738169251198E8</v>
      </c>
      <c r="N1045" s="31" t="s">
        <v>1157</v>
      </c>
      <c r="O1045" s="32"/>
      <c r="P1045" s="33" t="str">
        <f t="array" ref="P1045">IFERROR(
HYPERLINK(
"https://drive.google.com/file/d/"&amp;
XLOOKUP(O1045,'Hoa-Don'!A:A,'Hoa-Don'!D:D)
&amp;"/view",
"🔎"
),
""
)</f>
        <v/>
      </c>
    </row>
    <row r="1046" ht="22.5" customHeight="1">
      <c r="A1046" s="21">
        <v>1045.0</v>
      </c>
      <c r="B1046" s="22">
        <v>45070.0</v>
      </c>
      <c r="C1046" s="23">
        <v>316.0</v>
      </c>
      <c r="D1046" s="24" t="s">
        <v>821</v>
      </c>
      <c r="E1046" s="25" t="s">
        <v>11</v>
      </c>
      <c r="F1046" s="26"/>
      <c r="G1046" s="27" t="s">
        <v>38</v>
      </c>
      <c r="H1046" s="28">
        <v>695.0</v>
      </c>
      <c r="I1046" s="28">
        <v>16181.82</v>
      </c>
      <c r="J1046" s="29">
        <v>1.12463649E7</v>
      </c>
      <c r="K1046" s="29">
        <v>16482.450216143658</v>
      </c>
      <c r="L1046" s="30">
        <v>52493.41999999999</v>
      </c>
      <c r="M1046" s="29">
        <v>8.652201818251197E8</v>
      </c>
      <c r="N1046" s="31" t="s">
        <v>1158</v>
      </c>
      <c r="O1046" s="32"/>
      <c r="P1046" s="33" t="str">
        <f t="array" ref="P1046">IFERROR(
HYPERLINK(
"https://drive.google.com/file/d/"&amp;
XLOOKUP(O1046,'Hoa-Don'!A:A,'Hoa-Don'!D:D)
&amp;"/view",
"🔎"
),
""
)</f>
        <v/>
      </c>
    </row>
    <row r="1047" ht="22.5" customHeight="1">
      <c r="A1047" s="21">
        <v>1046.0</v>
      </c>
      <c r="B1047" s="22">
        <v>45075.0</v>
      </c>
      <c r="C1047" s="23">
        <v>327.0</v>
      </c>
      <c r="D1047" s="24" t="s">
        <v>821</v>
      </c>
      <c r="E1047" s="25" t="s">
        <v>11</v>
      </c>
      <c r="F1047" s="26"/>
      <c r="G1047" s="27" t="s">
        <v>38</v>
      </c>
      <c r="H1047" s="28">
        <v>1564.0</v>
      </c>
      <c r="I1047" s="28">
        <v>16000.0</v>
      </c>
      <c r="J1047" s="29">
        <v>2.5024E7</v>
      </c>
      <c r="K1047" s="29">
        <v>16468.491870775924</v>
      </c>
      <c r="L1047" s="30">
        <v>54057.41999999999</v>
      </c>
      <c r="M1047" s="29">
        <v>8.902441818251197E8</v>
      </c>
      <c r="N1047" s="31" t="s">
        <v>1159</v>
      </c>
      <c r="O1047" s="32"/>
      <c r="P1047" s="33" t="str">
        <f t="array" ref="P1047">IFERROR(
HYPERLINK(
"https://drive.google.com/file/d/"&amp;
XLOOKUP(O1047,'Hoa-Don'!A:A,'Hoa-Don'!D:D)
&amp;"/view",
"🔎"
),
""
)</f>
        <v/>
      </c>
    </row>
    <row r="1048" ht="22.5" customHeight="1">
      <c r="A1048" s="21">
        <v>1047.0</v>
      </c>
      <c r="B1048" s="22">
        <v>45103.0</v>
      </c>
      <c r="C1048" s="23">
        <v>10.0</v>
      </c>
      <c r="D1048" s="24" t="s">
        <v>48</v>
      </c>
      <c r="E1048" s="35" t="s">
        <v>18</v>
      </c>
      <c r="F1048" s="26"/>
      <c r="G1048" s="36" t="s">
        <v>42</v>
      </c>
      <c r="H1048" s="28">
        <v>3893.6</v>
      </c>
      <c r="I1048" s="28">
        <v>15858.214371413906</v>
      </c>
      <c r="J1048" s="29">
        <v>6.174554347653718E7</v>
      </c>
      <c r="K1048" s="29">
        <v>15858.214371413906</v>
      </c>
      <c r="L1048" s="30">
        <v>62595.68000000003</v>
      </c>
      <c r="M1048" s="29">
        <v>9.926557121644264E8</v>
      </c>
      <c r="N1048" s="31" t="s">
        <v>1160</v>
      </c>
      <c r="O1048" s="32"/>
      <c r="P1048" s="33" t="str">
        <f t="array" ref="P1048">IFERROR(
HYPERLINK(
"https://drive.google.com/file/d/"&amp;
XLOOKUP(O1048,'Hoa-Don'!A:A,'Hoa-Don'!D:D)
&amp;"/view",
"🔎"
),
""
)</f>
        <v/>
      </c>
    </row>
    <row r="1049" ht="22.5" customHeight="1">
      <c r="A1049" s="21">
        <v>1048.0</v>
      </c>
      <c r="B1049" s="22">
        <v>45103.0</v>
      </c>
      <c r="C1049" s="23">
        <v>10.0</v>
      </c>
      <c r="D1049" s="24" t="s">
        <v>48</v>
      </c>
      <c r="E1049" s="35" t="s">
        <v>18</v>
      </c>
      <c r="F1049" s="26"/>
      <c r="G1049" s="36" t="s">
        <v>42</v>
      </c>
      <c r="H1049" s="28">
        <v>164.9</v>
      </c>
      <c r="I1049" s="28">
        <v>15858.214371413906</v>
      </c>
      <c r="J1049" s="29">
        <v>2615019.5498461532</v>
      </c>
      <c r="K1049" s="29">
        <v>15858.214371413906</v>
      </c>
      <c r="L1049" s="30">
        <v>62430.78000000003</v>
      </c>
      <c r="M1049" s="29">
        <v>9.900406926145803E8</v>
      </c>
      <c r="N1049" s="31" t="s">
        <v>1161</v>
      </c>
      <c r="O1049" s="32"/>
      <c r="P1049" s="33" t="str">
        <f t="array" ref="P1049">IFERROR(
HYPERLINK(
"https://drive.google.com/file/d/"&amp;
XLOOKUP(O1049,'Hoa-Don'!A:A,'Hoa-Don'!D:D)
&amp;"/view",
"🔎"
),
""
)</f>
        <v/>
      </c>
    </row>
    <row r="1050" ht="22.5" customHeight="1">
      <c r="A1050" s="21">
        <v>1049.0</v>
      </c>
      <c r="B1050" s="22">
        <v>45103.0</v>
      </c>
      <c r="C1050" s="23">
        <v>10.0</v>
      </c>
      <c r="D1050" s="24" t="s">
        <v>48</v>
      </c>
      <c r="E1050" s="35" t="s">
        <v>18</v>
      </c>
      <c r="F1050" s="26"/>
      <c r="G1050" s="36" t="s">
        <v>42</v>
      </c>
      <c r="H1050" s="28">
        <v>105.5</v>
      </c>
      <c r="I1050" s="28">
        <v>15858.214371413906</v>
      </c>
      <c r="J1050" s="29">
        <v>1673041.616184167</v>
      </c>
      <c r="K1050" s="29">
        <v>15858.214371413906</v>
      </c>
      <c r="L1050" s="30">
        <v>62325.28000000003</v>
      </c>
      <c r="M1050" s="29">
        <v>9.883676509983962E8</v>
      </c>
      <c r="N1050" s="31" t="s">
        <v>1162</v>
      </c>
      <c r="O1050" s="32"/>
      <c r="P1050" s="33" t="str">
        <f t="array" ref="P1050">IFERROR(
HYPERLINK(
"https://drive.google.com/file/d/"&amp;
XLOOKUP(O1050,'Hoa-Don'!A:A,'Hoa-Don'!D:D)
&amp;"/view",
"🔎"
),
""
)</f>
        <v/>
      </c>
    </row>
    <row r="1051" ht="22.5" customHeight="1">
      <c r="A1051" s="21">
        <v>1050.0</v>
      </c>
      <c r="B1051" s="22">
        <v>45105.0</v>
      </c>
      <c r="C1051" s="23">
        <v>11.0</v>
      </c>
      <c r="D1051" s="24" t="s">
        <v>1135</v>
      </c>
      <c r="E1051" s="35" t="s">
        <v>18</v>
      </c>
      <c r="F1051" s="26"/>
      <c r="G1051" s="36" t="s">
        <v>42</v>
      </c>
      <c r="H1051" s="28">
        <v>7560.0</v>
      </c>
      <c r="I1051" s="28">
        <v>15858.214371413906</v>
      </c>
      <c r="J1051" s="29">
        <v>1.1988810064788912E8</v>
      </c>
      <c r="K1051" s="29">
        <v>15858.214371413906</v>
      </c>
      <c r="L1051" s="30">
        <v>54765.28000000003</v>
      </c>
      <c r="M1051" s="29">
        <v>8.68479550350507E8</v>
      </c>
      <c r="N1051" s="31" t="s">
        <v>1163</v>
      </c>
      <c r="O1051" s="32"/>
      <c r="P1051" s="33" t="str">
        <f t="array" ref="P1051">IFERROR(
HYPERLINK(
"https://drive.google.com/file/d/"&amp;
XLOOKUP(O1051,'Hoa-Don'!A:A,'Hoa-Don'!D:D)
&amp;"/view",
"🔎"
),
""
)</f>
        <v/>
      </c>
    </row>
    <row r="1052" ht="22.5" customHeight="1">
      <c r="A1052" s="21">
        <v>1051.0</v>
      </c>
      <c r="B1052" s="22">
        <v>45105.0</v>
      </c>
      <c r="C1052" s="23">
        <v>11.0</v>
      </c>
      <c r="D1052" s="24" t="s">
        <v>1135</v>
      </c>
      <c r="E1052" s="25" t="s">
        <v>11</v>
      </c>
      <c r="F1052" s="26"/>
      <c r="G1052" s="36" t="s">
        <v>42</v>
      </c>
      <c r="H1052" s="28">
        <v>5450.0</v>
      </c>
      <c r="I1052" s="28">
        <v>16468.491870775924</v>
      </c>
      <c r="J1052" s="29">
        <v>8.97532806957288E7</v>
      </c>
      <c r="K1052" s="29">
        <v>16468.491870775924</v>
      </c>
      <c r="L1052" s="30">
        <v>48607.41999999999</v>
      </c>
      <c r="M1052" s="29">
        <v>8.00490901129391E8</v>
      </c>
      <c r="N1052" s="31" t="s">
        <v>1164</v>
      </c>
      <c r="O1052" s="32"/>
      <c r="P1052" s="33" t="str">
        <f t="array" ref="P1052">IFERROR(
HYPERLINK(
"https://drive.google.com/file/d/"&amp;
XLOOKUP(O1052,'Hoa-Don'!A:A,'Hoa-Don'!D:D)
&amp;"/view",
"🔎"
),
""
)</f>
        <v/>
      </c>
    </row>
    <row r="1053" ht="22.5" customHeight="1">
      <c r="A1053" s="21">
        <v>1052.0</v>
      </c>
      <c r="B1053" s="22">
        <v>45108.0</v>
      </c>
      <c r="C1053" s="23">
        <v>12.0</v>
      </c>
      <c r="D1053" s="24" t="s">
        <v>935</v>
      </c>
      <c r="E1053" s="35" t="s">
        <v>18</v>
      </c>
      <c r="F1053" s="26"/>
      <c r="G1053" s="36" t="s">
        <v>42</v>
      </c>
      <c r="H1053" s="28">
        <v>63.0</v>
      </c>
      <c r="I1053" s="28">
        <v>15858.214371413906</v>
      </c>
      <c r="J1053" s="29">
        <v>999067.505399076</v>
      </c>
      <c r="K1053" s="29">
        <v>15858.214371413906</v>
      </c>
      <c r="L1053" s="30">
        <v>54702.28000000003</v>
      </c>
      <c r="M1053" s="29">
        <v>8.674804828451079E8</v>
      </c>
      <c r="N1053" s="31" t="s">
        <v>1165</v>
      </c>
      <c r="O1053" s="32"/>
      <c r="P1053" s="33" t="str">
        <f t="array" ref="P1053">IFERROR(
HYPERLINK(
"https://drive.google.com/file/d/"&amp;
XLOOKUP(O1053,'Hoa-Don'!A:A,'Hoa-Don'!D:D)
&amp;"/view",
"🔎"
),
""
)</f>
        <v/>
      </c>
    </row>
    <row r="1054" ht="22.5" customHeight="1">
      <c r="A1054" s="21">
        <v>1053.0</v>
      </c>
      <c r="B1054" s="22">
        <v>45120.0</v>
      </c>
      <c r="C1054" s="23">
        <v>13.0</v>
      </c>
      <c r="D1054" s="24" t="s">
        <v>460</v>
      </c>
      <c r="E1054" s="35" t="s">
        <v>18</v>
      </c>
      <c r="F1054" s="26"/>
      <c r="G1054" s="36" t="s">
        <v>42</v>
      </c>
      <c r="H1054" s="28">
        <v>1081.0</v>
      </c>
      <c r="I1054" s="28">
        <v>15858.214371413906</v>
      </c>
      <c r="J1054" s="29">
        <v>1.7142729735498432E7</v>
      </c>
      <c r="K1054" s="29">
        <v>15858.214371413906</v>
      </c>
      <c r="L1054" s="30">
        <v>53621.28000000003</v>
      </c>
      <c r="M1054" s="29">
        <v>8.503377531096095E8</v>
      </c>
      <c r="N1054" s="31" t="s">
        <v>1166</v>
      </c>
      <c r="O1054" s="32"/>
      <c r="P1054" s="33" t="str">
        <f t="array" ref="P1054">IFERROR(
HYPERLINK(
"https://drive.google.com/file/d/"&amp;
XLOOKUP(O1054,'Hoa-Don'!A:A,'Hoa-Don'!D:D)
&amp;"/view",
"🔎"
),
""
)</f>
        <v/>
      </c>
    </row>
    <row r="1055" ht="22.5" customHeight="1">
      <c r="A1055" s="21">
        <v>1054.0</v>
      </c>
      <c r="B1055" s="22">
        <v>45161.0</v>
      </c>
      <c r="C1055" s="23">
        <v>14.0</v>
      </c>
      <c r="D1055" s="24" t="s">
        <v>460</v>
      </c>
      <c r="E1055" s="35" t="s">
        <v>18</v>
      </c>
      <c r="F1055" s="26"/>
      <c r="G1055" s="36" t="s">
        <v>42</v>
      </c>
      <c r="H1055" s="28">
        <v>1090.0</v>
      </c>
      <c r="I1055" s="28">
        <v>15858.214371413906</v>
      </c>
      <c r="J1055" s="29">
        <v>1.7285453664841156E7</v>
      </c>
      <c r="K1055" s="29">
        <v>15858.214371413906</v>
      </c>
      <c r="L1055" s="30">
        <v>52531.28000000003</v>
      </c>
      <c r="M1055" s="29">
        <v>8.330522994447683E8</v>
      </c>
      <c r="N1055" s="31" t="s">
        <v>1167</v>
      </c>
      <c r="O1055" s="32"/>
      <c r="P1055" s="33" t="str">
        <f t="array" ref="P1055">IFERROR(
HYPERLINK(
"https://drive.google.com/file/d/"&amp;
XLOOKUP(O1055,'Hoa-Don'!A:A,'Hoa-Don'!D:D)
&amp;"/view",
"🔎"
),
""
)</f>
        <v/>
      </c>
    </row>
    <row r="1056" ht="22.5" customHeight="1">
      <c r="A1056" s="21">
        <v>1055.0</v>
      </c>
      <c r="B1056" s="22">
        <v>45183.0</v>
      </c>
      <c r="C1056" s="23">
        <v>15.0</v>
      </c>
      <c r="D1056" s="24" t="s">
        <v>48</v>
      </c>
      <c r="E1056" s="35" t="s">
        <v>18</v>
      </c>
      <c r="F1056" s="26"/>
      <c r="G1056" s="36" t="s">
        <v>42</v>
      </c>
      <c r="H1056" s="28">
        <v>560.5</v>
      </c>
      <c r="I1056" s="28">
        <v>15858.214371413906</v>
      </c>
      <c r="J1056" s="29">
        <v>8888529.155177495</v>
      </c>
      <c r="K1056" s="29">
        <v>15858.214371413906</v>
      </c>
      <c r="L1056" s="30">
        <v>51970.78000000003</v>
      </c>
      <c r="M1056" s="29">
        <v>8.241637702895908E8</v>
      </c>
      <c r="N1056" s="31" t="s">
        <v>1168</v>
      </c>
      <c r="O1056" s="32"/>
      <c r="P1056" s="33" t="str">
        <f t="array" ref="P1056">IFERROR(
HYPERLINK(
"https://drive.google.com/file/d/"&amp;
XLOOKUP(O1056,'Hoa-Don'!A:A,'Hoa-Don'!D:D)
&amp;"/view",
"🔎"
),
""
)</f>
        <v/>
      </c>
    </row>
    <row r="1057" ht="22.5" customHeight="1">
      <c r="A1057" s="21">
        <v>1056.0</v>
      </c>
      <c r="B1057" s="22">
        <v>45183.0</v>
      </c>
      <c r="C1057" s="23">
        <v>15.0</v>
      </c>
      <c r="D1057" s="24" t="s">
        <v>48</v>
      </c>
      <c r="E1057" s="35" t="s">
        <v>18</v>
      </c>
      <c r="F1057" s="26"/>
      <c r="G1057" s="36" t="s">
        <v>42</v>
      </c>
      <c r="H1057" s="28">
        <v>9.4</v>
      </c>
      <c r="I1057" s="28">
        <v>15858.214371413906</v>
      </c>
      <c r="J1057" s="29">
        <v>149067.2150912907</v>
      </c>
      <c r="K1057" s="29">
        <v>15858.214371413906</v>
      </c>
      <c r="L1057" s="30">
        <v>51961.38000000003</v>
      </c>
      <c r="M1057" s="29">
        <v>8.240147030744995E8</v>
      </c>
      <c r="N1057" s="31" t="s">
        <v>1169</v>
      </c>
      <c r="O1057" s="32"/>
      <c r="P1057" s="33" t="str">
        <f t="array" ref="P1057">IFERROR(
HYPERLINK(
"https://drive.google.com/file/d/"&amp;
XLOOKUP(O1057,'Hoa-Don'!A:A,'Hoa-Don'!D:D)
&amp;"/view",
"🔎"
),
""
)</f>
        <v/>
      </c>
    </row>
    <row r="1058" ht="22.5" customHeight="1">
      <c r="A1058" s="21">
        <v>1057.0</v>
      </c>
      <c r="B1058" s="22">
        <v>45183.0</v>
      </c>
      <c r="C1058" s="23">
        <v>15.0</v>
      </c>
      <c r="D1058" s="24" t="s">
        <v>48</v>
      </c>
      <c r="E1058" s="35" t="s">
        <v>18</v>
      </c>
      <c r="F1058" s="26"/>
      <c r="G1058" s="36" t="s">
        <v>42</v>
      </c>
      <c r="H1058" s="28">
        <v>39.6</v>
      </c>
      <c r="I1058" s="28">
        <v>15858.214371413906</v>
      </c>
      <c r="J1058" s="29">
        <v>627985.2891079907</v>
      </c>
      <c r="K1058" s="29">
        <v>15858.214371413906</v>
      </c>
      <c r="L1058" s="30">
        <v>51921.78000000003</v>
      </c>
      <c r="M1058" s="29">
        <v>8.233867177853916E8</v>
      </c>
      <c r="N1058" s="31" t="s">
        <v>1170</v>
      </c>
      <c r="O1058" s="32"/>
      <c r="P1058" s="33" t="str">
        <f t="array" ref="P1058">IFERROR(
HYPERLINK(
"https://drive.google.com/file/d/"&amp;
XLOOKUP(O1058,'Hoa-Don'!A:A,'Hoa-Don'!D:D)
&amp;"/view",
"🔎"
),
""
)</f>
        <v/>
      </c>
    </row>
    <row r="1059" ht="22.5" customHeight="1">
      <c r="A1059" s="21">
        <v>1058.0</v>
      </c>
      <c r="B1059" s="22">
        <v>45188.0</v>
      </c>
      <c r="C1059" s="23">
        <v>16.0</v>
      </c>
      <c r="D1059" s="24" t="s">
        <v>48</v>
      </c>
      <c r="E1059" s="35" t="s">
        <v>18</v>
      </c>
      <c r="F1059" s="26"/>
      <c r="G1059" s="36" t="s">
        <v>42</v>
      </c>
      <c r="H1059" s="28">
        <v>2001.8</v>
      </c>
      <c r="I1059" s="28">
        <v>15858.214371413906</v>
      </c>
      <c r="J1059" s="29">
        <v>3.1744973528696354E7</v>
      </c>
      <c r="K1059" s="29">
        <v>15858.214371413906</v>
      </c>
      <c r="L1059" s="30">
        <v>49919.980000000025</v>
      </c>
      <c r="M1059" s="29">
        <v>7.916417442566952E8</v>
      </c>
      <c r="N1059" s="31" t="s">
        <v>1171</v>
      </c>
      <c r="O1059" s="32"/>
      <c r="P1059" s="33" t="str">
        <f t="array" ref="P1059">IFERROR(
HYPERLINK(
"https://drive.google.com/file/d/"&amp;
XLOOKUP(O1059,'Hoa-Don'!A:A,'Hoa-Don'!D:D)
&amp;"/view",
"🔎"
),
""
)</f>
        <v/>
      </c>
    </row>
    <row r="1060" ht="22.5" customHeight="1">
      <c r="A1060" s="21">
        <v>1059.0</v>
      </c>
      <c r="B1060" s="22">
        <v>45188.0</v>
      </c>
      <c r="C1060" s="23">
        <v>16.0</v>
      </c>
      <c r="D1060" s="24" t="s">
        <v>48</v>
      </c>
      <c r="E1060" s="35" t="s">
        <v>18</v>
      </c>
      <c r="F1060" s="26"/>
      <c r="G1060" s="36" t="s">
        <v>42</v>
      </c>
      <c r="H1060" s="28">
        <v>70.7</v>
      </c>
      <c r="I1060" s="28">
        <v>15858.214371413906</v>
      </c>
      <c r="J1060" s="29">
        <v>1121175.7560589632</v>
      </c>
      <c r="K1060" s="29">
        <v>15858.214371413906</v>
      </c>
      <c r="L1060" s="30">
        <v>49849.28000000003</v>
      </c>
      <c r="M1060" s="29">
        <v>7.905205685006362E8</v>
      </c>
      <c r="N1060" s="31" t="s">
        <v>1172</v>
      </c>
      <c r="O1060" s="32"/>
      <c r="P1060" s="33" t="str">
        <f t="array" ref="P1060">IFERROR(
HYPERLINK(
"https://drive.google.com/file/d/"&amp;
XLOOKUP(O1060,'Hoa-Don'!A:A,'Hoa-Don'!D:D)
&amp;"/view",
"🔎"
),
""
)</f>
        <v/>
      </c>
    </row>
    <row r="1061" ht="22.5" customHeight="1">
      <c r="A1061" s="21">
        <v>1060.0</v>
      </c>
      <c r="B1061" s="22">
        <v>45188.0</v>
      </c>
      <c r="C1061" s="23">
        <v>16.0</v>
      </c>
      <c r="D1061" s="24" t="s">
        <v>48</v>
      </c>
      <c r="E1061" s="35" t="s">
        <v>18</v>
      </c>
      <c r="F1061" s="26"/>
      <c r="G1061" s="36" t="s">
        <v>42</v>
      </c>
      <c r="H1061" s="28">
        <v>108.6</v>
      </c>
      <c r="I1061" s="28">
        <v>15858.214371413906</v>
      </c>
      <c r="J1061" s="29">
        <v>1722202.08073555</v>
      </c>
      <c r="K1061" s="29">
        <v>15858.214371413906</v>
      </c>
      <c r="L1061" s="30">
        <v>49740.68000000003</v>
      </c>
      <c r="M1061" s="29">
        <v>7.887983664199007E8</v>
      </c>
      <c r="N1061" s="31" t="s">
        <v>1173</v>
      </c>
      <c r="O1061" s="32"/>
      <c r="P1061" s="33" t="str">
        <f t="array" ref="P1061">IFERROR(
HYPERLINK(
"https://drive.google.com/file/d/"&amp;
XLOOKUP(O1061,'Hoa-Don'!A:A,'Hoa-Don'!D:D)
&amp;"/view",
"🔎"
),
""
)</f>
        <v/>
      </c>
    </row>
    <row r="1062" ht="22.5" customHeight="1">
      <c r="A1062" s="21">
        <v>1061.0</v>
      </c>
      <c r="B1062" s="22">
        <v>45190.0</v>
      </c>
      <c r="C1062" s="23">
        <v>17.0</v>
      </c>
      <c r="D1062" s="24" t="s">
        <v>460</v>
      </c>
      <c r="E1062" s="35" t="s">
        <v>18</v>
      </c>
      <c r="F1062" s="26"/>
      <c r="G1062" s="36" t="s">
        <v>42</v>
      </c>
      <c r="H1062" s="28">
        <v>496.0</v>
      </c>
      <c r="I1062" s="28">
        <v>15858.214371413906</v>
      </c>
      <c r="J1062" s="29">
        <v>7865674.328221297</v>
      </c>
      <c r="K1062" s="29">
        <v>15858.214371413906</v>
      </c>
      <c r="L1062" s="30">
        <v>49244.68000000003</v>
      </c>
      <c r="M1062" s="29">
        <v>7.809326920916795E8</v>
      </c>
      <c r="N1062" s="31" t="s">
        <v>1174</v>
      </c>
      <c r="O1062" s="32"/>
      <c r="P1062" s="33" t="str">
        <f t="array" ref="P1062">IFERROR(
HYPERLINK(
"https://drive.google.com/file/d/"&amp;
XLOOKUP(O1062,'Hoa-Don'!A:A,'Hoa-Don'!D:D)
&amp;"/view",
"🔎"
),
""
)</f>
        <v/>
      </c>
    </row>
    <row r="1063" ht="22.5" customHeight="1">
      <c r="A1063" s="21">
        <v>1062.0</v>
      </c>
      <c r="B1063" s="22">
        <v>45196.0</v>
      </c>
      <c r="C1063" s="23">
        <v>19.0</v>
      </c>
      <c r="D1063" s="24" t="s">
        <v>130</v>
      </c>
      <c r="E1063" s="35" t="s">
        <v>18</v>
      </c>
      <c r="F1063" s="26"/>
      <c r="G1063" s="36" t="s">
        <v>42</v>
      </c>
      <c r="H1063" s="28">
        <v>560.5</v>
      </c>
      <c r="I1063" s="28">
        <v>15858.214371413906</v>
      </c>
      <c r="J1063" s="29">
        <v>8888529.155177495</v>
      </c>
      <c r="K1063" s="29">
        <v>15858.214371413906</v>
      </c>
      <c r="L1063" s="30">
        <v>48684.18000000003</v>
      </c>
      <c r="M1063" s="29">
        <v>7.720441629365019E8</v>
      </c>
      <c r="N1063" s="31" t="s">
        <v>1175</v>
      </c>
      <c r="O1063" s="32"/>
      <c r="P1063" s="33" t="str">
        <f t="array" ref="P1063">IFERROR(
HYPERLINK(
"https://drive.google.com/file/d/"&amp;
XLOOKUP(O1063,'Hoa-Don'!A:A,'Hoa-Don'!D:D)
&amp;"/view",
"🔎"
),
""
)</f>
        <v/>
      </c>
    </row>
    <row r="1064" ht="22.5" customHeight="1">
      <c r="A1064" s="21">
        <v>1063.0</v>
      </c>
      <c r="B1064" s="22">
        <v>45196.0</v>
      </c>
      <c r="C1064" s="23">
        <v>19.0</v>
      </c>
      <c r="D1064" s="24" t="s">
        <v>130</v>
      </c>
      <c r="E1064" s="35" t="s">
        <v>18</v>
      </c>
      <c r="F1064" s="26"/>
      <c r="G1064" s="36" t="s">
        <v>42</v>
      </c>
      <c r="H1064" s="28">
        <v>9.4</v>
      </c>
      <c r="I1064" s="28">
        <v>15858.214371413906</v>
      </c>
      <c r="J1064" s="29">
        <v>149067.2150912907</v>
      </c>
      <c r="K1064" s="29">
        <v>15858.214371413906</v>
      </c>
      <c r="L1064" s="30">
        <v>48674.78000000003</v>
      </c>
      <c r="M1064" s="29">
        <v>7.718950957214106E8</v>
      </c>
      <c r="N1064" s="31" t="s">
        <v>1176</v>
      </c>
      <c r="O1064" s="32"/>
      <c r="P1064" s="33" t="str">
        <f t="array" ref="P1064">IFERROR(
HYPERLINK(
"https://drive.google.com/file/d/"&amp;
XLOOKUP(O1064,'Hoa-Don'!A:A,'Hoa-Don'!D:D)
&amp;"/view",
"🔎"
),
""
)</f>
        <v/>
      </c>
    </row>
    <row r="1065" ht="22.5" customHeight="1">
      <c r="A1065" s="21">
        <v>1064.0</v>
      </c>
      <c r="B1065" s="22">
        <v>45196.0</v>
      </c>
      <c r="C1065" s="23">
        <v>19.0</v>
      </c>
      <c r="D1065" s="24" t="s">
        <v>130</v>
      </c>
      <c r="E1065" s="35" t="s">
        <v>18</v>
      </c>
      <c r="F1065" s="26"/>
      <c r="G1065" s="36" t="s">
        <v>42</v>
      </c>
      <c r="H1065" s="28">
        <v>39.6</v>
      </c>
      <c r="I1065" s="28">
        <v>15858.214371413906</v>
      </c>
      <c r="J1065" s="29">
        <v>627985.2891079907</v>
      </c>
      <c r="K1065" s="29">
        <v>15858.214371413906</v>
      </c>
      <c r="L1065" s="30">
        <v>48635.18000000003</v>
      </c>
      <c r="M1065" s="29">
        <v>7.712671104323026E8</v>
      </c>
      <c r="N1065" s="31" t="s">
        <v>1177</v>
      </c>
      <c r="O1065" s="32"/>
      <c r="P1065" s="33" t="str">
        <f t="array" ref="P1065">IFERROR(
HYPERLINK(
"https://drive.google.com/file/d/"&amp;
XLOOKUP(O1065,'Hoa-Don'!A:A,'Hoa-Don'!D:D)
&amp;"/view",
"🔎"
),
""
)</f>
        <v/>
      </c>
    </row>
    <row r="1066" ht="22.5" customHeight="1">
      <c r="A1066" s="21">
        <v>1065.0</v>
      </c>
      <c r="B1066" s="22">
        <v>45223.0</v>
      </c>
      <c r="C1066" s="23">
        <v>638.0</v>
      </c>
      <c r="D1066" s="24" t="s">
        <v>821</v>
      </c>
      <c r="E1066" s="25" t="s">
        <v>11</v>
      </c>
      <c r="F1066" s="26"/>
      <c r="G1066" s="27" t="s">
        <v>38</v>
      </c>
      <c r="H1066" s="28">
        <v>1445.0</v>
      </c>
      <c r="I1066" s="28">
        <v>15363.64</v>
      </c>
      <c r="J1066" s="29">
        <v>2.22004598E7</v>
      </c>
      <c r="K1066" s="29">
        <v>16436.59509229306</v>
      </c>
      <c r="L1066" s="30">
        <v>50052.41999999999</v>
      </c>
      <c r="M1066" s="29">
        <v>8.226913609293909E8</v>
      </c>
      <c r="N1066" s="31" t="s">
        <v>1178</v>
      </c>
      <c r="O1066" s="32"/>
      <c r="P1066" s="33" t="str">
        <f t="array" ref="P1066">IFERROR(
HYPERLINK(
"https://drive.google.com/file/d/"&amp;
XLOOKUP(O1066,'Hoa-Don'!A:A,'Hoa-Don'!D:D)
&amp;"/view",
"🔎"
),
""
)</f>
        <v/>
      </c>
    </row>
    <row r="1067" ht="22.5" customHeight="1">
      <c r="A1067" s="21">
        <v>1066.0</v>
      </c>
      <c r="B1067" s="22">
        <v>45236.0</v>
      </c>
      <c r="C1067" s="23">
        <v>20.0</v>
      </c>
      <c r="D1067" s="24" t="s">
        <v>460</v>
      </c>
      <c r="E1067" s="35" t="s">
        <v>18</v>
      </c>
      <c r="F1067" s="26"/>
      <c r="G1067" s="36" t="s">
        <v>42</v>
      </c>
      <c r="H1067" s="28">
        <v>1049.0</v>
      </c>
      <c r="I1067" s="28">
        <v>15858.214371413906</v>
      </c>
      <c r="J1067" s="29">
        <v>1.6635266875613187E7</v>
      </c>
      <c r="K1067" s="29">
        <v>15858.214371413906</v>
      </c>
      <c r="L1067" s="30">
        <v>47586.18000000003</v>
      </c>
      <c r="M1067" s="29">
        <v>7.546318435566894E8</v>
      </c>
      <c r="N1067" s="31" t="s">
        <v>1179</v>
      </c>
      <c r="O1067" s="32"/>
      <c r="P1067" s="33" t="str">
        <f t="array" ref="P1067">IFERROR(
HYPERLINK(
"https://drive.google.com/file/d/"&amp;
XLOOKUP(O1067,'Hoa-Don'!A:A,'Hoa-Don'!D:D)
&amp;"/view",
"🔎"
),
""
)</f>
        <v/>
      </c>
    </row>
    <row r="1068" ht="22.5" customHeight="1">
      <c r="A1068" s="21">
        <v>1067.0</v>
      </c>
      <c r="B1068" s="22">
        <v>45261.0</v>
      </c>
      <c r="C1068" s="23">
        <v>21.0</v>
      </c>
      <c r="D1068" s="24" t="s">
        <v>48</v>
      </c>
      <c r="E1068" s="35" t="s">
        <v>18</v>
      </c>
      <c r="F1068" s="26"/>
      <c r="G1068" s="36" t="s">
        <v>42</v>
      </c>
      <c r="H1068" s="28">
        <v>800.7</v>
      </c>
      <c r="I1068" s="28">
        <v>15858.214371413906</v>
      </c>
      <c r="J1068" s="29">
        <v>1.2697672247191114E7</v>
      </c>
      <c r="K1068" s="29">
        <v>15858.214371413906</v>
      </c>
      <c r="L1068" s="30">
        <v>46785.48000000003</v>
      </c>
      <c r="M1068" s="29">
        <v>7.419341713094983E8</v>
      </c>
      <c r="N1068" s="31" t="s">
        <v>1180</v>
      </c>
      <c r="O1068" s="32"/>
      <c r="P1068" s="33" t="str">
        <f t="array" ref="P1068">IFERROR(
HYPERLINK(
"https://drive.google.com/file/d/"&amp;
XLOOKUP(O1068,'Hoa-Don'!A:A,'Hoa-Don'!D:D)
&amp;"/view",
"🔎"
),
""
)</f>
        <v/>
      </c>
    </row>
    <row r="1069" ht="22.5" customHeight="1">
      <c r="A1069" s="21">
        <v>1068.0</v>
      </c>
      <c r="B1069" s="22">
        <v>45261.0</v>
      </c>
      <c r="C1069" s="23">
        <v>21.0</v>
      </c>
      <c r="D1069" s="24" t="s">
        <v>48</v>
      </c>
      <c r="E1069" s="35" t="s">
        <v>18</v>
      </c>
      <c r="F1069" s="26"/>
      <c r="G1069" s="36" t="s">
        <v>42</v>
      </c>
      <c r="H1069" s="28">
        <v>31.4</v>
      </c>
      <c r="I1069" s="28">
        <v>15858.214371413906</v>
      </c>
      <c r="J1069" s="29">
        <v>497947.9312623966</v>
      </c>
      <c r="K1069" s="29">
        <v>15858.214371413906</v>
      </c>
      <c r="L1069" s="30">
        <v>46754.08000000003</v>
      </c>
      <c r="M1069" s="29">
        <v>7.414362233782359E8</v>
      </c>
      <c r="N1069" s="31" t="s">
        <v>1181</v>
      </c>
      <c r="O1069" s="32"/>
      <c r="P1069" s="33" t="str">
        <f t="array" ref="P1069">IFERROR(
HYPERLINK(
"https://drive.google.com/file/d/"&amp;
XLOOKUP(O1069,'Hoa-Don'!A:A,'Hoa-Don'!D:D)
&amp;"/view",
"🔎"
),
""
)</f>
        <v/>
      </c>
    </row>
    <row r="1070" ht="22.5" customHeight="1">
      <c r="A1070" s="21">
        <v>1069.0</v>
      </c>
      <c r="B1070" s="22">
        <v>45261.0</v>
      </c>
      <c r="C1070" s="23">
        <v>21.0</v>
      </c>
      <c r="D1070" s="24" t="s">
        <v>48</v>
      </c>
      <c r="E1070" s="35" t="s">
        <v>18</v>
      </c>
      <c r="F1070" s="26"/>
      <c r="G1070" s="36" t="s">
        <v>42</v>
      </c>
      <c r="H1070" s="28">
        <v>30.14</v>
      </c>
      <c r="I1070" s="28">
        <v>15858.214371413906</v>
      </c>
      <c r="J1070" s="29">
        <v>477966.58115441515</v>
      </c>
      <c r="K1070" s="29">
        <v>15858.214371413906</v>
      </c>
      <c r="L1070" s="30">
        <v>46723.94000000003</v>
      </c>
      <c r="M1070" s="29">
        <v>7.409582567970816E8</v>
      </c>
      <c r="N1070" s="31" t="s">
        <v>1182</v>
      </c>
      <c r="O1070" s="32"/>
      <c r="P1070" s="33" t="str">
        <f t="array" ref="P1070">IFERROR(
HYPERLINK(
"https://drive.google.com/file/d/"&amp;
XLOOKUP(O1070,'Hoa-Don'!A:A,'Hoa-Don'!D:D)
&amp;"/view",
"🔎"
),
""
)</f>
        <v/>
      </c>
    </row>
    <row r="1071" ht="22.5" customHeight="1">
      <c r="A1071" s="21">
        <v>1070.0</v>
      </c>
      <c r="B1071" s="22">
        <v>45271.0</v>
      </c>
      <c r="C1071" s="23">
        <v>22.0</v>
      </c>
      <c r="D1071" s="24" t="s">
        <v>48</v>
      </c>
      <c r="E1071" s="35" t="s">
        <v>18</v>
      </c>
      <c r="F1071" s="26"/>
      <c r="G1071" s="36" t="s">
        <v>42</v>
      </c>
      <c r="H1071" s="28">
        <v>1695.6</v>
      </c>
      <c r="I1071" s="28">
        <v>15858.214371413906</v>
      </c>
      <c r="J1071" s="29">
        <v>2.6889188288169418E7</v>
      </c>
      <c r="K1071" s="29">
        <v>15858.214371413906</v>
      </c>
      <c r="L1071" s="30">
        <v>45028.34000000003</v>
      </c>
      <c r="M1071" s="29">
        <v>7.140690685089121E8</v>
      </c>
      <c r="N1071" s="31" t="s">
        <v>1183</v>
      </c>
      <c r="O1071" s="32"/>
      <c r="P1071" s="33" t="str">
        <f t="array" ref="P1071">IFERROR(
HYPERLINK(
"https://drive.google.com/file/d/"&amp;
XLOOKUP(O1071,'Hoa-Don'!A:A,'Hoa-Don'!D:D)
&amp;"/view",
"🔎"
),
""
)</f>
        <v/>
      </c>
    </row>
    <row r="1072" ht="22.5" customHeight="1">
      <c r="A1072" s="21">
        <v>1071.0</v>
      </c>
      <c r="B1072" s="22">
        <v>45271.0</v>
      </c>
      <c r="C1072" s="23">
        <v>22.0</v>
      </c>
      <c r="D1072" s="24" t="s">
        <v>48</v>
      </c>
      <c r="E1072" s="35" t="s">
        <v>18</v>
      </c>
      <c r="F1072" s="26"/>
      <c r="G1072" s="36" t="s">
        <v>42</v>
      </c>
      <c r="H1072" s="28">
        <v>70.7</v>
      </c>
      <c r="I1072" s="28">
        <v>15858.214371413906</v>
      </c>
      <c r="J1072" s="29">
        <v>1121175.7560589632</v>
      </c>
      <c r="K1072" s="29">
        <v>15858.214371413906</v>
      </c>
      <c r="L1072" s="30">
        <v>44957.640000000036</v>
      </c>
      <c r="M1072" s="29">
        <v>7.129478927528533E8</v>
      </c>
      <c r="N1072" s="31" t="s">
        <v>1184</v>
      </c>
      <c r="O1072" s="32"/>
      <c r="P1072" s="33" t="str">
        <f t="array" ref="P1072">IFERROR(
HYPERLINK(
"https://drive.google.com/file/d/"&amp;
XLOOKUP(O1072,'Hoa-Don'!A:A,'Hoa-Don'!D:D)
&amp;"/view",
"🔎"
),
""
)</f>
        <v/>
      </c>
    </row>
    <row r="1073" ht="22.5" customHeight="1">
      <c r="A1073" s="21">
        <v>1072.0</v>
      </c>
      <c r="B1073" s="22">
        <v>45271.0</v>
      </c>
      <c r="C1073" s="23">
        <v>22.0</v>
      </c>
      <c r="D1073" s="24" t="s">
        <v>48</v>
      </c>
      <c r="E1073" s="35" t="s">
        <v>18</v>
      </c>
      <c r="F1073" s="26"/>
      <c r="G1073" s="36" t="s">
        <v>42</v>
      </c>
      <c r="H1073" s="28">
        <v>80.0</v>
      </c>
      <c r="I1073" s="28">
        <v>15858.214371413906</v>
      </c>
      <c r="J1073" s="29">
        <v>1268657.1497131125</v>
      </c>
      <c r="K1073" s="29">
        <v>15858.214371413906</v>
      </c>
      <c r="L1073" s="30">
        <v>44877.640000000036</v>
      </c>
      <c r="M1073" s="29">
        <v>7.116792356031401E8</v>
      </c>
      <c r="N1073" s="31" t="s">
        <v>1185</v>
      </c>
      <c r="O1073" s="32"/>
      <c r="P1073" s="33" t="str">
        <f t="array" ref="P1073">IFERROR(
HYPERLINK(
"https://drive.google.com/file/d/"&amp;
XLOOKUP(O1073,'Hoa-Don'!A:A,'Hoa-Don'!D:D)
&amp;"/view",
"🔎"
),
""
)</f>
        <v/>
      </c>
    </row>
    <row r="1074" ht="22.5" customHeight="1">
      <c r="A1074" s="21">
        <v>1073.0</v>
      </c>
      <c r="B1074" s="22">
        <v>45274.0</v>
      </c>
      <c r="C1074" s="23">
        <v>24.0</v>
      </c>
      <c r="D1074" s="24" t="s">
        <v>1186</v>
      </c>
      <c r="E1074" s="35" t="s">
        <v>18</v>
      </c>
      <c r="F1074" s="26"/>
      <c r="G1074" s="36" t="s">
        <v>42</v>
      </c>
      <c r="H1074" s="28">
        <v>1069.0</v>
      </c>
      <c r="I1074" s="28">
        <v>15858.214371413906</v>
      </c>
      <c r="J1074" s="29">
        <v>1.6952431163041465E7</v>
      </c>
      <c r="K1074" s="29">
        <v>15858.214371413906</v>
      </c>
      <c r="L1074" s="30">
        <v>43808.640000000036</v>
      </c>
      <c r="M1074" s="29">
        <v>6.947268044400986E8</v>
      </c>
      <c r="N1074" s="31" t="s">
        <v>1187</v>
      </c>
      <c r="O1074" s="32"/>
      <c r="P1074" s="33" t="str">
        <f t="array" ref="P1074">IFERROR(
HYPERLINK(
"https://drive.google.com/file/d/"&amp;
XLOOKUP(O1074,'Hoa-Don'!A:A,'Hoa-Don'!D:D)
&amp;"/view",
"🔎"
),
""
)</f>
        <v/>
      </c>
    </row>
    <row r="1075" ht="22.5" customHeight="1">
      <c r="A1075" s="21">
        <v>1074.0</v>
      </c>
      <c r="B1075" s="22">
        <v>45279.0</v>
      </c>
      <c r="C1075" s="23">
        <v>25.0</v>
      </c>
      <c r="D1075" s="24" t="s">
        <v>48</v>
      </c>
      <c r="E1075" s="35" t="s">
        <v>18</v>
      </c>
      <c r="F1075" s="26"/>
      <c r="G1075" s="36" t="s">
        <v>42</v>
      </c>
      <c r="H1075" s="28">
        <v>965.6</v>
      </c>
      <c r="I1075" s="28">
        <v>15858.214371413906</v>
      </c>
      <c r="J1075" s="29">
        <v>1.5312691797037268E7</v>
      </c>
      <c r="K1075" s="29">
        <v>15858.214371413906</v>
      </c>
      <c r="L1075" s="30">
        <v>42843.04000000004</v>
      </c>
      <c r="M1075" s="29">
        <v>6.794141126430614E8</v>
      </c>
      <c r="N1075" s="31" t="s">
        <v>1188</v>
      </c>
      <c r="O1075" s="32"/>
      <c r="P1075" s="33" t="str">
        <f t="array" ref="P1075">IFERROR(
HYPERLINK(
"https://drive.google.com/file/d/"&amp;
XLOOKUP(O1075,'Hoa-Don'!A:A,'Hoa-Don'!D:D)
&amp;"/view",
"🔎"
),
""
)</f>
        <v/>
      </c>
    </row>
    <row r="1076" ht="22.5" customHeight="1">
      <c r="A1076" s="21">
        <v>1075.0</v>
      </c>
      <c r="B1076" s="22">
        <v>45279.0</v>
      </c>
      <c r="C1076" s="23">
        <v>25.0</v>
      </c>
      <c r="D1076" s="24" t="s">
        <v>48</v>
      </c>
      <c r="E1076" s="35" t="s">
        <v>18</v>
      </c>
      <c r="F1076" s="26"/>
      <c r="G1076" s="36" t="s">
        <v>42</v>
      </c>
      <c r="H1076" s="28">
        <v>35.3</v>
      </c>
      <c r="I1076" s="28">
        <v>15858.214371413906</v>
      </c>
      <c r="J1076" s="29">
        <v>559794.9673109108</v>
      </c>
      <c r="K1076" s="29">
        <v>15858.214371413906</v>
      </c>
      <c r="L1076" s="30">
        <v>42807.740000000034</v>
      </c>
      <c r="M1076" s="29">
        <v>6.788543176757505E8</v>
      </c>
      <c r="N1076" s="31" t="s">
        <v>1189</v>
      </c>
      <c r="O1076" s="32"/>
      <c r="P1076" s="33" t="str">
        <f t="array" ref="P1076">IFERROR(
HYPERLINK(
"https://drive.google.com/file/d/"&amp;
XLOOKUP(O1076,'Hoa-Don'!A:A,'Hoa-Don'!D:D)
&amp;"/view",
"🔎"
),
""
)</f>
        <v/>
      </c>
    </row>
    <row r="1077" ht="22.5" customHeight="1">
      <c r="A1077" s="21">
        <v>1076.0</v>
      </c>
      <c r="B1077" s="22">
        <v>45284.0</v>
      </c>
      <c r="C1077" s="23">
        <v>26.0</v>
      </c>
      <c r="D1077" s="24" t="s">
        <v>48</v>
      </c>
      <c r="E1077" s="25" t="s">
        <v>11</v>
      </c>
      <c r="F1077" s="26"/>
      <c r="G1077" s="36" t="s">
        <v>42</v>
      </c>
      <c r="H1077" s="28">
        <v>175.0</v>
      </c>
      <c r="I1077" s="28">
        <v>16436.59509229306</v>
      </c>
      <c r="J1077" s="29">
        <v>2876404.1411512857</v>
      </c>
      <c r="K1077" s="29">
        <v>16436.59509229306</v>
      </c>
      <c r="L1077" s="30">
        <v>49877.41999999999</v>
      </c>
      <c r="M1077" s="29">
        <v>8.198149567882396E8</v>
      </c>
      <c r="N1077" s="31" t="s">
        <v>1190</v>
      </c>
      <c r="O1077" s="32"/>
      <c r="P1077" s="33" t="str">
        <f t="array" ref="P1077">IFERROR(
HYPERLINK(
"https://drive.google.com/file/d/"&amp;
XLOOKUP(O1077,'Hoa-Don'!A:A,'Hoa-Don'!D:D)
&amp;"/view",
"🔎"
),
""
)</f>
        <v/>
      </c>
    </row>
    <row r="1078" ht="22.5" customHeight="1">
      <c r="A1078" s="21">
        <v>1077.0</v>
      </c>
      <c r="B1078" s="22">
        <v>45284.0</v>
      </c>
      <c r="C1078" s="23">
        <v>26.0</v>
      </c>
      <c r="D1078" s="24" t="s">
        <v>48</v>
      </c>
      <c r="E1078" s="35" t="s">
        <v>18</v>
      </c>
      <c r="F1078" s="26"/>
      <c r="G1078" s="36" t="s">
        <v>42</v>
      </c>
      <c r="H1078" s="28">
        <v>50.0</v>
      </c>
      <c r="I1078" s="28">
        <v>15858.214371413906</v>
      </c>
      <c r="J1078" s="29">
        <v>792910.7185706953</v>
      </c>
      <c r="K1078" s="29">
        <v>15858.214371413906</v>
      </c>
      <c r="L1078" s="30">
        <v>42757.740000000034</v>
      </c>
      <c r="M1078" s="29">
        <v>6.780614069571798E8</v>
      </c>
      <c r="N1078" s="31" t="s">
        <v>1191</v>
      </c>
      <c r="O1078" s="32"/>
      <c r="P1078" s="33" t="str">
        <f t="array" ref="P1078">IFERROR(
HYPERLINK(
"https://drive.google.com/file/d/"&amp;
XLOOKUP(O1078,'Hoa-Don'!A:A,'Hoa-Don'!D:D)
&amp;"/view",
"🔎"
),
""
)</f>
        <v/>
      </c>
    </row>
    <row r="1079" ht="22.5" customHeight="1">
      <c r="A1079" s="21">
        <v>1078.0</v>
      </c>
      <c r="B1079" s="22">
        <v>45351.0</v>
      </c>
      <c r="C1079" s="23">
        <v>67.0</v>
      </c>
      <c r="D1079" s="24" t="s">
        <v>821</v>
      </c>
      <c r="E1079" s="25" t="s">
        <v>11</v>
      </c>
      <c r="F1079" s="26"/>
      <c r="G1079" s="27" t="s">
        <v>38</v>
      </c>
      <c r="H1079" s="28">
        <v>1141.0</v>
      </c>
      <c r="I1079" s="28">
        <v>15454.55</v>
      </c>
      <c r="J1079" s="29">
        <v>1.763364155E7</v>
      </c>
      <c r="K1079" s="29">
        <v>16414.632172816007</v>
      </c>
      <c r="L1079" s="30">
        <v>51018.41999999999</v>
      </c>
      <c r="M1079" s="29">
        <v>8.374485983382396E8</v>
      </c>
      <c r="N1079" s="31" t="s">
        <v>1192</v>
      </c>
      <c r="O1079" s="32"/>
      <c r="P1079" s="33" t="str">
        <f t="array" ref="P1079">IFERROR(
HYPERLINK(
"https://drive.google.com/file/d/"&amp;
XLOOKUP(O1079,'Hoa-Don'!A:A,'Hoa-Don'!D:D)
&amp;"/view",
"🔎"
),
""
)</f>
        <v/>
      </c>
    </row>
    <row r="1080" ht="22.5" customHeight="1">
      <c r="A1080" s="21">
        <v>1079.0</v>
      </c>
      <c r="B1080" s="22">
        <v>45352.0</v>
      </c>
      <c r="C1080" s="23">
        <v>79.0</v>
      </c>
      <c r="D1080" s="24" t="s">
        <v>821</v>
      </c>
      <c r="E1080" s="25" t="s">
        <v>11</v>
      </c>
      <c r="F1080" s="26"/>
      <c r="G1080" s="27" t="s">
        <v>38</v>
      </c>
      <c r="H1080" s="28">
        <v>1000.0</v>
      </c>
      <c r="I1080" s="28">
        <v>15454.55</v>
      </c>
      <c r="J1080" s="29">
        <v>1.545455E7</v>
      </c>
      <c r="K1080" s="29">
        <v>16396.17559199683</v>
      </c>
      <c r="L1080" s="30">
        <v>52018.41999999999</v>
      </c>
      <c r="M1080" s="29">
        <v>8.529031483382396E8</v>
      </c>
      <c r="N1080" s="31" t="s">
        <v>1193</v>
      </c>
      <c r="O1080" s="32"/>
      <c r="P1080" s="33" t="str">
        <f t="array" ref="P1080">IFERROR(
HYPERLINK(
"https://drive.google.com/file/d/"&amp;
XLOOKUP(O1080,'Hoa-Don'!A:A,'Hoa-Don'!D:D)
&amp;"/view",
"🔎"
),
""
)</f>
        <v/>
      </c>
    </row>
    <row r="1081" ht="22.5" customHeight="1">
      <c r="A1081" s="21">
        <v>1080.0</v>
      </c>
      <c r="B1081" s="22">
        <v>45381.0</v>
      </c>
      <c r="C1081" s="23">
        <v>1.0</v>
      </c>
      <c r="D1081" s="24" t="s">
        <v>460</v>
      </c>
      <c r="E1081" s="35" t="s">
        <v>18</v>
      </c>
      <c r="F1081" s="26"/>
      <c r="G1081" s="36" t="s">
        <v>42</v>
      </c>
      <c r="H1081" s="28">
        <v>1558.0</v>
      </c>
      <c r="I1081" s="28">
        <v>15858.214371413906</v>
      </c>
      <c r="J1081" s="29">
        <v>2.4707097990662865E7</v>
      </c>
      <c r="K1081" s="29">
        <v>15858.214371413906</v>
      </c>
      <c r="L1081" s="30">
        <v>41199.740000000034</v>
      </c>
      <c r="M1081" s="29">
        <v>6.533543089665169E8</v>
      </c>
      <c r="N1081" s="31" t="s">
        <v>1194</v>
      </c>
      <c r="O1081" s="32"/>
      <c r="P1081" s="33" t="str">
        <f t="array" ref="P1081">IFERROR(
HYPERLINK(
"https://drive.google.com/file/d/"&amp;
XLOOKUP(O1081,'Hoa-Don'!A:A,'Hoa-Don'!D:D)
&amp;"/view",
"🔎"
),
""
)</f>
        <v/>
      </c>
    </row>
    <row r="1082" ht="22.5" customHeight="1">
      <c r="A1082" s="21">
        <v>1081.0</v>
      </c>
      <c r="B1082" s="22">
        <v>45401.0</v>
      </c>
      <c r="C1082" s="23">
        <v>2.0</v>
      </c>
      <c r="D1082" s="24" t="s">
        <v>115</v>
      </c>
      <c r="E1082" s="35" t="s">
        <v>18</v>
      </c>
      <c r="F1082" s="26"/>
      <c r="G1082" s="36" t="s">
        <v>42</v>
      </c>
      <c r="H1082" s="28">
        <v>401.0</v>
      </c>
      <c r="I1082" s="28">
        <v>15858.214371413906</v>
      </c>
      <c r="J1082" s="29">
        <v>6359143.962936976</v>
      </c>
      <c r="K1082" s="29">
        <v>15858.214371413906</v>
      </c>
      <c r="L1082" s="30">
        <v>40798.740000000034</v>
      </c>
      <c r="M1082" s="29">
        <v>6.469951650035799E8</v>
      </c>
      <c r="N1082" s="31" t="s">
        <v>1195</v>
      </c>
      <c r="O1082" s="32"/>
      <c r="P1082" s="33" t="str">
        <f t="array" ref="P1082">IFERROR(
HYPERLINK(
"https://drive.google.com/file/d/"&amp;
XLOOKUP(O1082,'Hoa-Don'!A:A,'Hoa-Don'!D:D)
&amp;"/view",
"🔎"
),
""
)</f>
        <v/>
      </c>
    </row>
    <row r="1083" ht="22.5" customHeight="1">
      <c r="A1083" s="21">
        <v>1082.0</v>
      </c>
      <c r="B1083" s="22">
        <v>45401.0</v>
      </c>
      <c r="C1083" s="23">
        <v>2.0</v>
      </c>
      <c r="D1083" s="24" t="s">
        <v>115</v>
      </c>
      <c r="E1083" s="35" t="s">
        <v>18</v>
      </c>
      <c r="F1083" s="26"/>
      <c r="G1083" s="36" t="s">
        <v>42</v>
      </c>
      <c r="H1083" s="28">
        <v>419.0</v>
      </c>
      <c r="I1083" s="28">
        <v>15858.214371413906</v>
      </c>
      <c r="J1083" s="29">
        <v>6644591.821622427</v>
      </c>
      <c r="K1083" s="29">
        <v>15858.214371413906</v>
      </c>
      <c r="L1083" s="30">
        <v>40379.740000000034</v>
      </c>
      <c r="M1083" s="29">
        <v>6.403505731819575E8</v>
      </c>
      <c r="N1083" s="31" t="s">
        <v>1196</v>
      </c>
      <c r="O1083" s="32"/>
      <c r="P1083" s="33" t="str">
        <f t="array" ref="P1083">IFERROR(
HYPERLINK(
"https://drive.google.com/file/d/"&amp;
XLOOKUP(O1083,'Hoa-Don'!A:A,'Hoa-Don'!D:D)
&amp;"/view",
"🔎"
),
""
)</f>
        <v/>
      </c>
    </row>
    <row r="1084" ht="22.5" customHeight="1">
      <c r="A1084" s="21">
        <v>1083.0</v>
      </c>
      <c r="B1084" s="22">
        <v>45401.0</v>
      </c>
      <c r="C1084" s="23">
        <v>2.0</v>
      </c>
      <c r="D1084" s="24" t="s">
        <v>115</v>
      </c>
      <c r="E1084" s="35" t="s">
        <v>18</v>
      </c>
      <c r="F1084" s="26"/>
      <c r="G1084" s="36" t="s">
        <v>42</v>
      </c>
      <c r="H1084" s="28">
        <v>844.0</v>
      </c>
      <c r="I1084" s="28">
        <v>15858.214371413906</v>
      </c>
      <c r="J1084" s="29">
        <v>1.3384332929473337E7</v>
      </c>
      <c r="K1084" s="29">
        <v>15858.214371413906</v>
      </c>
      <c r="L1084" s="30">
        <v>39535.740000000034</v>
      </c>
      <c r="M1084" s="29">
        <v>6.269662402524842E8</v>
      </c>
      <c r="N1084" s="31" t="s">
        <v>1197</v>
      </c>
      <c r="O1084" s="32"/>
      <c r="P1084" s="33" t="str">
        <f t="array" ref="P1084">IFERROR(
HYPERLINK(
"https://drive.google.com/file/d/"&amp;
XLOOKUP(O1084,'Hoa-Don'!A:A,'Hoa-Don'!D:D)
&amp;"/view",
"🔎"
),
""
)</f>
        <v/>
      </c>
    </row>
    <row r="1085" ht="22.5" customHeight="1">
      <c r="A1085" s="21">
        <v>1084.0</v>
      </c>
      <c r="B1085" s="22">
        <v>45401.0</v>
      </c>
      <c r="C1085" s="23">
        <v>2.0</v>
      </c>
      <c r="D1085" s="24" t="s">
        <v>115</v>
      </c>
      <c r="E1085" s="35" t="s">
        <v>18</v>
      </c>
      <c r="F1085" s="26"/>
      <c r="G1085" s="36" t="s">
        <v>42</v>
      </c>
      <c r="H1085" s="28">
        <v>25.0</v>
      </c>
      <c r="I1085" s="28">
        <v>15858.214371413906</v>
      </c>
      <c r="J1085" s="29">
        <v>396455.35928534763</v>
      </c>
      <c r="K1085" s="29">
        <v>15858.214371413906</v>
      </c>
      <c r="L1085" s="30">
        <v>39510.740000000034</v>
      </c>
      <c r="M1085" s="29">
        <v>6.265697848931988E8</v>
      </c>
      <c r="N1085" s="31" t="s">
        <v>1198</v>
      </c>
      <c r="O1085" s="32"/>
      <c r="P1085" s="33" t="str">
        <f t="array" ref="P1085">IFERROR(
HYPERLINK(
"https://drive.google.com/file/d/"&amp;
XLOOKUP(O1085,'Hoa-Don'!A:A,'Hoa-Don'!D:D)
&amp;"/view",
"🔎"
),
""
)</f>
        <v/>
      </c>
    </row>
    <row r="1086" ht="22.5" customHeight="1">
      <c r="A1086" s="21">
        <v>1085.0</v>
      </c>
      <c r="B1086" s="22">
        <v>45407.0</v>
      </c>
      <c r="C1086" s="23">
        <v>3.0</v>
      </c>
      <c r="D1086" s="24" t="s">
        <v>460</v>
      </c>
      <c r="E1086" s="35" t="s">
        <v>18</v>
      </c>
      <c r="F1086" s="26"/>
      <c r="G1086" s="36" t="s">
        <v>42</v>
      </c>
      <c r="H1086" s="28">
        <v>552.5</v>
      </c>
      <c r="I1086" s="28">
        <v>15858.214371413906</v>
      </c>
      <c r="J1086" s="29">
        <v>8761663.440206183</v>
      </c>
      <c r="K1086" s="29">
        <v>15858.214371413906</v>
      </c>
      <c r="L1086" s="30">
        <v>38958.240000000034</v>
      </c>
      <c r="M1086" s="29">
        <v>6.178081214529927E8</v>
      </c>
      <c r="N1086" s="31" t="s">
        <v>1199</v>
      </c>
      <c r="O1086" s="32"/>
      <c r="P1086" s="33" t="str">
        <f t="array" ref="P1086">IFERROR(
HYPERLINK(
"https://drive.google.com/file/d/"&amp;
XLOOKUP(O1086,'Hoa-Don'!A:A,'Hoa-Don'!D:D)
&amp;"/view",
"🔎"
),
""
)</f>
        <v/>
      </c>
    </row>
    <row r="1087" ht="22.5" customHeight="1">
      <c r="A1087" s="21">
        <v>1086.0</v>
      </c>
      <c r="B1087" s="22">
        <v>45444.0</v>
      </c>
      <c r="C1087" s="23">
        <v>4.0</v>
      </c>
      <c r="D1087" s="24" t="s">
        <v>1200</v>
      </c>
      <c r="E1087" s="35" t="s">
        <v>18</v>
      </c>
      <c r="F1087" s="26"/>
      <c r="G1087" s="36" t="s">
        <v>42</v>
      </c>
      <c r="H1087" s="28">
        <v>1735.0</v>
      </c>
      <c r="I1087" s="28">
        <v>15858.214371413906</v>
      </c>
      <c r="J1087" s="29">
        <v>2.7514001934403125E7</v>
      </c>
      <c r="K1087" s="29">
        <v>15858.214371413906</v>
      </c>
      <c r="L1087" s="30">
        <v>37223.240000000034</v>
      </c>
      <c r="M1087" s="29">
        <v>5.902941195185895E8</v>
      </c>
      <c r="N1087" s="31" t="s">
        <v>1201</v>
      </c>
      <c r="O1087" s="32"/>
      <c r="P1087" s="33" t="str">
        <f t="array" ref="P1087">IFERROR(
HYPERLINK(
"https://drive.google.com/file/d/"&amp;
XLOOKUP(O1087,'Hoa-Don'!A:A,'Hoa-Don'!D:D)
&amp;"/view",
"🔎"
),
""
)</f>
        <v/>
      </c>
    </row>
    <row r="1088" ht="22.5" customHeight="1">
      <c r="A1088" s="21">
        <v>1087.0</v>
      </c>
      <c r="B1088" s="22">
        <v>45444.0</v>
      </c>
      <c r="C1088" s="23">
        <v>4.0</v>
      </c>
      <c r="D1088" s="24" t="s">
        <v>1200</v>
      </c>
      <c r="E1088" s="35" t="s">
        <v>18</v>
      </c>
      <c r="F1088" s="26"/>
      <c r="G1088" s="36" t="s">
        <v>42</v>
      </c>
      <c r="H1088" s="28">
        <v>43.0</v>
      </c>
      <c r="I1088" s="28">
        <v>15858.214371413906</v>
      </c>
      <c r="J1088" s="29">
        <v>681903.2179707979</v>
      </c>
      <c r="K1088" s="29">
        <v>15858.214371413906</v>
      </c>
      <c r="L1088" s="30">
        <v>37180.240000000034</v>
      </c>
      <c r="M1088" s="29">
        <v>5.896122163006186E8</v>
      </c>
      <c r="N1088" s="31" t="s">
        <v>1202</v>
      </c>
      <c r="O1088" s="32"/>
      <c r="P1088" s="33" t="str">
        <f t="array" ref="P1088">IFERROR(
HYPERLINK(
"https://drive.google.com/file/d/"&amp;
XLOOKUP(O1088,'Hoa-Don'!A:A,'Hoa-Don'!D:D)
&amp;"/view",
"🔎"
),
""
)</f>
        <v/>
      </c>
    </row>
    <row r="1089" ht="22.5" customHeight="1">
      <c r="A1089" s="21">
        <v>1088.0</v>
      </c>
      <c r="B1089" s="22">
        <v>45444.0</v>
      </c>
      <c r="C1089" s="23">
        <v>4.0</v>
      </c>
      <c r="D1089" s="24" t="s">
        <v>1200</v>
      </c>
      <c r="E1089" s="35" t="s">
        <v>18</v>
      </c>
      <c r="F1089" s="26"/>
      <c r="G1089" s="36" t="s">
        <v>42</v>
      </c>
      <c r="H1089" s="28">
        <v>218.0</v>
      </c>
      <c r="I1089" s="28">
        <v>15858.214371413906</v>
      </c>
      <c r="J1089" s="29">
        <v>3457090.732968231</v>
      </c>
      <c r="K1089" s="29">
        <v>15858.214371413906</v>
      </c>
      <c r="L1089" s="30">
        <v>36962.240000000034</v>
      </c>
      <c r="M1089" s="29">
        <v>5.861551255676504E8</v>
      </c>
      <c r="N1089" s="31" t="s">
        <v>1203</v>
      </c>
      <c r="O1089" s="32"/>
      <c r="P1089" s="33" t="str">
        <f t="array" ref="P1089">IFERROR(
HYPERLINK(
"https://drive.google.com/file/d/"&amp;
XLOOKUP(O1089,'Hoa-Don'!A:A,'Hoa-Don'!D:D)
&amp;"/view",
"🔎"
),
""
)</f>
        <v/>
      </c>
    </row>
    <row r="1090" ht="22.5" customHeight="1">
      <c r="A1090" s="21">
        <v>1089.0</v>
      </c>
      <c r="B1090" s="22">
        <v>45449.0</v>
      </c>
      <c r="C1090" s="23">
        <v>5.0</v>
      </c>
      <c r="D1090" s="24" t="s">
        <v>460</v>
      </c>
      <c r="E1090" s="35" t="s">
        <v>18</v>
      </c>
      <c r="F1090" s="26"/>
      <c r="G1090" s="36" t="s">
        <v>42</v>
      </c>
      <c r="H1090" s="28">
        <v>780.0</v>
      </c>
      <c r="I1090" s="28">
        <v>15858.214371413906</v>
      </c>
      <c r="J1090" s="29">
        <v>1.2369407209702846E7</v>
      </c>
      <c r="K1090" s="29">
        <v>15858.214371413906</v>
      </c>
      <c r="L1090" s="30">
        <v>36182.240000000034</v>
      </c>
      <c r="M1090" s="29">
        <v>5.737857183579476E8</v>
      </c>
      <c r="N1090" s="31" t="s">
        <v>1204</v>
      </c>
      <c r="O1090" s="32"/>
      <c r="P1090" s="33" t="str">
        <f t="array" ref="P1090">IFERROR(
HYPERLINK(
"https://drive.google.com/file/d/"&amp;
XLOOKUP(O1090,'Hoa-Don'!A:A,'Hoa-Don'!D:D)
&amp;"/view",
"🔎"
),
""
)</f>
        <v/>
      </c>
    </row>
    <row r="1091" ht="22.5" customHeight="1">
      <c r="A1091" s="21">
        <v>1090.0</v>
      </c>
      <c r="B1091" s="22">
        <v>45472.0</v>
      </c>
      <c r="C1091" s="23">
        <v>6.0</v>
      </c>
      <c r="D1091" s="24" t="s">
        <v>460</v>
      </c>
      <c r="E1091" s="35" t="s">
        <v>18</v>
      </c>
      <c r="F1091" s="26"/>
      <c r="G1091" s="36" t="s">
        <v>42</v>
      </c>
      <c r="H1091" s="28">
        <v>780.0</v>
      </c>
      <c r="I1091" s="28">
        <v>15858.214371413906</v>
      </c>
      <c r="J1091" s="29">
        <v>1.2369407209702846E7</v>
      </c>
      <c r="K1091" s="29">
        <v>15858.214371413906</v>
      </c>
      <c r="L1091" s="30">
        <v>35402.240000000034</v>
      </c>
      <c r="M1091" s="29">
        <v>5.614163111482447E8</v>
      </c>
      <c r="N1091" s="31" t="s">
        <v>1205</v>
      </c>
      <c r="O1091" s="32"/>
      <c r="P1091" s="33" t="str">
        <f t="array" ref="P1091">IFERROR(
HYPERLINK(
"https://drive.google.com/file/d/"&amp;
XLOOKUP(O1091,'Hoa-Don'!A:A,'Hoa-Don'!D:D)
&amp;"/view",
"🔎"
),
""
)</f>
        <v/>
      </c>
    </row>
    <row r="1092" ht="22.5" customHeight="1">
      <c r="A1092" s="21">
        <v>1091.0</v>
      </c>
      <c r="B1092" s="22">
        <v>45474.0</v>
      </c>
      <c r="C1092" s="23">
        <v>7.0</v>
      </c>
      <c r="D1092" s="24" t="s">
        <v>115</v>
      </c>
      <c r="E1092" s="35" t="s">
        <v>18</v>
      </c>
      <c r="F1092" s="26"/>
      <c r="G1092" s="36" t="s">
        <v>42</v>
      </c>
      <c r="H1092" s="28">
        <v>590.0</v>
      </c>
      <c r="I1092" s="28">
        <v>15858.214371413906</v>
      </c>
      <c r="J1092" s="29">
        <v>9356346.479134204</v>
      </c>
      <c r="K1092" s="29">
        <v>15858.214371413906</v>
      </c>
      <c r="L1092" s="30">
        <v>34812.240000000034</v>
      </c>
      <c r="M1092" s="29">
        <v>5.520599646691105E8</v>
      </c>
      <c r="N1092" s="31" t="s">
        <v>1206</v>
      </c>
      <c r="O1092" s="32"/>
      <c r="P1092" s="33" t="str">
        <f t="array" ref="P1092">IFERROR(
HYPERLINK(
"https://drive.google.com/file/d/"&amp;
XLOOKUP(O1092,'Hoa-Don'!A:A,'Hoa-Don'!D:D)
&amp;"/view",
"🔎"
),
""
)</f>
        <v/>
      </c>
    </row>
    <row r="1093" ht="22.5" customHeight="1">
      <c r="A1093" s="21">
        <v>1092.0</v>
      </c>
      <c r="B1093" s="22">
        <v>45474.0</v>
      </c>
      <c r="C1093" s="23">
        <v>7.0</v>
      </c>
      <c r="D1093" s="24" t="s">
        <v>115</v>
      </c>
      <c r="E1093" s="25" t="s">
        <v>11</v>
      </c>
      <c r="F1093" s="26"/>
      <c r="G1093" s="36" t="s">
        <v>42</v>
      </c>
      <c r="H1093" s="28">
        <v>1468.0</v>
      </c>
      <c r="I1093" s="28">
        <v>16396.17559199683</v>
      </c>
      <c r="J1093" s="29">
        <v>2.4069585769051347E7</v>
      </c>
      <c r="K1093" s="29">
        <v>16396.17559199683</v>
      </c>
      <c r="L1093" s="30">
        <v>50550.41999999999</v>
      </c>
      <c r="M1093" s="29">
        <v>8.288335625691882E8</v>
      </c>
      <c r="N1093" s="31" t="s">
        <v>1207</v>
      </c>
      <c r="O1093" s="32"/>
      <c r="P1093" s="33" t="str">
        <f t="array" ref="P1093">IFERROR(
HYPERLINK(
"https://drive.google.com/file/d/"&amp;
XLOOKUP(O1093,'Hoa-Don'!A:A,'Hoa-Don'!D:D)
&amp;"/view",
"🔎"
),
""
)</f>
        <v/>
      </c>
    </row>
    <row r="1094" ht="22.5" customHeight="1">
      <c r="A1094" s="21">
        <v>1093.0</v>
      </c>
      <c r="B1094" s="22">
        <v>45535.0</v>
      </c>
      <c r="C1094" s="23">
        <v>463.0</v>
      </c>
      <c r="D1094" s="24" t="s">
        <v>821</v>
      </c>
      <c r="E1094" s="25" t="s">
        <v>11</v>
      </c>
      <c r="F1094" s="26"/>
      <c r="G1094" s="27" t="s">
        <v>38</v>
      </c>
      <c r="H1094" s="28">
        <v>1350.0</v>
      </c>
      <c r="I1094" s="28">
        <v>14727.27</v>
      </c>
      <c r="J1094" s="29">
        <v>1.98818145E7</v>
      </c>
      <c r="K1094" s="29">
        <v>16352.765104197391</v>
      </c>
      <c r="L1094" s="30">
        <v>51900.41999999999</v>
      </c>
      <c r="M1094" s="29">
        <v>8.487153770691882E8</v>
      </c>
      <c r="N1094" s="31" t="s">
        <v>1208</v>
      </c>
      <c r="O1094" s="32"/>
      <c r="P1094" s="33" t="str">
        <f t="array" ref="P1094">IFERROR(
HYPERLINK(
"https://drive.google.com/file/d/"&amp;
XLOOKUP(O1094,'Hoa-Don'!A:A,'Hoa-Don'!D:D)
&amp;"/view",
"🔎"
),
""
)</f>
        <v/>
      </c>
    </row>
    <row r="1095" ht="22.5" customHeight="1">
      <c r="A1095" s="21">
        <v>1094.0</v>
      </c>
      <c r="B1095" s="22">
        <v>45573.0</v>
      </c>
      <c r="C1095" s="23">
        <v>8.0</v>
      </c>
      <c r="D1095" s="24" t="s">
        <v>1209</v>
      </c>
      <c r="E1095" s="25" t="s">
        <v>11</v>
      </c>
      <c r="F1095" s="26"/>
      <c r="G1095" s="36" t="s">
        <v>42</v>
      </c>
      <c r="H1095" s="28">
        <v>736.0</v>
      </c>
      <c r="I1095" s="28">
        <v>16352.765104197391</v>
      </c>
      <c r="J1095" s="29">
        <v>1.203563511668928E7</v>
      </c>
      <c r="K1095" s="29">
        <v>16352.765104197391</v>
      </c>
      <c r="L1095" s="30">
        <v>51164.41999999999</v>
      </c>
      <c r="M1095" s="29">
        <v>8.366797419524989E8</v>
      </c>
      <c r="N1095" s="31" t="s">
        <v>1210</v>
      </c>
      <c r="O1095" s="32"/>
      <c r="P1095" s="33" t="str">
        <f t="array" ref="P1095">IFERROR(
HYPERLINK(
"https://drive.google.com/file/d/"&amp;
XLOOKUP(O1095,'Hoa-Don'!A:A,'Hoa-Don'!D:D)
&amp;"/view",
"🔎"
),
""
)</f>
        <v/>
      </c>
    </row>
    <row r="1096" ht="22.5" customHeight="1">
      <c r="A1096" s="21">
        <v>1095.0</v>
      </c>
      <c r="B1096" s="22">
        <v>45574.0</v>
      </c>
      <c r="C1096" s="23">
        <v>9.0</v>
      </c>
      <c r="D1096" s="24" t="s">
        <v>1211</v>
      </c>
      <c r="E1096" s="35" t="s">
        <v>18</v>
      </c>
      <c r="F1096" s="26"/>
      <c r="G1096" s="36" t="s">
        <v>42</v>
      </c>
      <c r="H1096" s="28">
        <v>549.5</v>
      </c>
      <c r="I1096" s="28">
        <v>15858.214371413906</v>
      </c>
      <c r="J1096" s="29">
        <v>8714088.79709194</v>
      </c>
      <c r="K1096" s="29">
        <v>15858.214371413906</v>
      </c>
      <c r="L1096" s="30">
        <v>34262.740000000034</v>
      </c>
      <c r="M1096" s="29">
        <v>5.433458758720186E8</v>
      </c>
      <c r="N1096" s="31" t="s">
        <v>1212</v>
      </c>
      <c r="O1096" s="32"/>
      <c r="P1096" s="33" t="str">
        <f t="array" ref="P1096">IFERROR(
HYPERLINK(
"https://drive.google.com/file/d/"&amp;
XLOOKUP(O1096,'Hoa-Don'!A:A,'Hoa-Don'!D:D)
&amp;"/view",
"🔎"
),
""
)</f>
        <v/>
      </c>
    </row>
    <row r="1097" ht="22.5" customHeight="1">
      <c r="A1097" s="21">
        <v>1096.0</v>
      </c>
      <c r="B1097" s="22">
        <v>45574.0</v>
      </c>
      <c r="C1097" s="23">
        <v>9.0</v>
      </c>
      <c r="D1097" s="24" t="s">
        <v>1211</v>
      </c>
      <c r="E1097" s="35" t="s">
        <v>18</v>
      </c>
      <c r="F1097" s="26"/>
      <c r="G1097" s="36" t="s">
        <v>42</v>
      </c>
      <c r="H1097" s="28">
        <v>15.7</v>
      </c>
      <c r="I1097" s="28">
        <v>15858.214371413906</v>
      </c>
      <c r="J1097" s="29">
        <v>248973.9656311983</v>
      </c>
      <c r="K1097" s="29">
        <v>15858.214371413906</v>
      </c>
      <c r="L1097" s="30">
        <v>34247.04000000004</v>
      </c>
      <c r="M1097" s="29">
        <v>5.430969019063874E8</v>
      </c>
      <c r="N1097" s="31" t="s">
        <v>1213</v>
      </c>
      <c r="O1097" s="32"/>
      <c r="P1097" s="33" t="str">
        <f t="array" ref="P1097">IFERROR(
HYPERLINK(
"https://drive.google.com/file/d/"&amp;
XLOOKUP(O1097,'Hoa-Don'!A:A,'Hoa-Don'!D:D)
&amp;"/view",
"🔎"
),
""
)</f>
        <v/>
      </c>
    </row>
    <row r="1098" ht="22.5" customHeight="1">
      <c r="A1098" s="21">
        <v>1097.0</v>
      </c>
      <c r="B1098" s="22">
        <v>45574.0</v>
      </c>
      <c r="C1098" s="23">
        <v>9.0</v>
      </c>
      <c r="D1098" s="24" t="s">
        <v>1211</v>
      </c>
      <c r="E1098" s="35" t="s">
        <v>18</v>
      </c>
      <c r="F1098" s="26"/>
      <c r="G1098" s="36" t="s">
        <v>42</v>
      </c>
      <c r="H1098" s="28">
        <v>49.5</v>
      </c>
      <c r="I1098" s="28">
        <v>15858.214371413906</v>
      </c>
      <c r="J1098" s="29">
        <v>784981.6113849883</v>
      </c>
      <c r="K1098" s="29">
        <v>15858.214371413906</v>
      </c>
      <c r="L1098" s="30">
        <v>34197.54000000004</v>
      </c>
      <c r="M1098" s="29">
        <v>5.423119202950025E8</v>
      </c>
      <c r="N1098" s="31" t="s">
        <v>1214</v>
      </c>
      <c r="O1098" s="32"/>
      <c r="P1098" s="33" t="str">
        <f t="array" ref="P1098">IFERROR(
HYPERLINK(
"https://drive.google.com/file/d/"&amp;
XLOOKUP(O1098,'Hoa-Don'!A:A,'Hoa-Don'!D:D)
&amp;"/view",
"🔎"
),
""
)</f>
        <v/>
      </c>
    </row>
    <row r="1099" ht="22.5" customHeight="1">
      <c r="A1099" s="21">
        <v>1098.0</v>
      </c>
      <c r="B1099" s="22">
        <v>45574.0</v>
      </c>
      <c r="C1099" s="23">
        <v>10.0</v>
      </c>
      <c r="D1099" s="24" t="s">
        <v>1211</v>
      </c>
      <c r="E1099" s="35" t="s">
        <v>18</v>
      </c>
      <c r="F1099" s="26"/>
      <c r="G1099" s="36" t="s">
        <v>42</v>
      </c>
      <c r="H1099" s="28">
        <v>147.0</v>
      </c>
      <c r="I1099" s="28">
        <v>15858.214371413906</v>
      </c>
      <c r="J1099" s="29">
        <v>2331157.512597844</v>
      </c>
      <c r="K1099" s="29">
        <v>15858.214371413906</v>
      </c>
      <c r="L1099" s="30">
        <v>34050.54000000004</v>
      </c>
      <c r="M1099" s="29">
        <v>5.399807627824047E8</v>
      </c>
      <c r="N1099" s="31" t="s">
        <v>1215</v>
      </c>
      <c r="O1099" s="32"/>
      <c r="P1099" s="33" t="str">
        <f t="array" ref="P1099">IFERROR(
HYPERLINK(
"https://drive.google.com/file/d/"&amp;
XLOOKUP(O1099,'Hoa-Don'!A:A,'Hoa-Don'!D:D)
&amp;"/view",
"🔎"
),
""
)</f>
        <v/>
      </c>
    </row>
    <row r="1100" ht="22.5" customHeight="1">
      <c r="A1100" s="21">
        <v>1099.0</v>
      </c>
      <c r="B1100" s="22">
        <v>45574.0</v>
      </c>
      <c r="C1100" s="23">
        <v>10.0</v>
      </c>
      <c r="D1100" s="24" t="s">
        <v>1211</v>
      </c>
      <c r="E1100" s="35" t="s">
        <v>18</v>
      </c>
      <c r="F1100" s="26"/>
      <c r="G1100" s="36" t="s">
        <v>42</v>
      </c>
      <c r="H1100" s="28">
        <v>12.0</v>
      </c>
      <c r="I1100" s="28">
        <v>15858.214371413906</v>
      </c>
      <c r="J1100" s="29">
        <v>190298.57245696685</v>
      </c>
      <c r="K1100" s="29">
        <v>15858.214371413906</v>
      </c>
      <c r="L1100" s="30">
        <v>34038.54000000004</v>
      </c>
      <c r="M1100" s="29">
        <v>5.397904642099477E8</v>
      </c>
      <c r="N1100" s="31" t="s">
        <v>1216</v>
      </c>
      <c r="O1100" s="32"/>
      <c r="P1100" s="33" t="str">
        <f t="array" ref="P1100">IFERROR(
HYPERLINK(
"https://drive.google.com/file/d/"&amp;
XLOOKUP(O1100,'Hoa-Don'!A:A,'Hoa-Don'!D:D)
&amp;"/view",
"🔎"
),
""
)</f>
        <v/>
      </c>
    </row>
    <row r="1101" ht="22.5" customHeight="1">
      <c r="A1101" s="21">
        <v>1100.0</v>
      </c>
      <c r="B1101" s="22">
        <v>45575.0</v>
      </c>
      <c r="C1101" s="23">
        <v>11.0</v>
      </c>
      <c r="D1101" s="24" t="s">
        <v>1209</v>
      </c>
      <c r="E1101" s="25" t="s">
        <v>11</v>
      </c>
      <c r="F1101" s="26"/>
      <c r="G1101" s="36" t="s">
        <v>42</v>
      </c>
      <c r="H1101" s="28">
        <v>864.0</v>
      </c>
      <c r="I1101" s="28">
        <v>16352.765104197391</v>
      </c>
      <c r="J1101" s="29">
        <v>1.4128789050026545E7</v>
      </c>
      <c r="K1101" s="29">
        <v>16352.765104197391</v>
      </c>
      <c r="L1101" s="30">
        <v>50300.41999999999</v>
      </c>
      <c r="M1101" s="29">
        <v>8.225509529024724E8</v>
      </c>
      <c r="N1101" s="31" t="s">
        <v>1217</v>
      </c>
      <c r="O1101" s="32"/>
      <c r="P1101" s="33" t="str">
        <f t="array" ref="P1101">IFERROR(
HYPERLINK(
"https://drive.google.com/file/d/"&amp;
XLOOKUP(O1101,'Hoa-Don'!A:A,'Hoa-Don'!D:D)
&amp;"/view",
"🔎"
),
""
)</f>
        <v/>
      </c>
    </row>
    <row r="1102" ht="22.5" customHeight="1">
      <c r="A1102" s="21">
        <v>1101.0</v>
      </c>
      <c r="B1102" s="22">
        <v>45587.0</v>
      </c>
      <c r="C1102" s="23">
        <v>12.0</v>
      </c>
      <c r="D1102" s="24" t="s">
        <v>460</v>
      </c>
      <c r="E1102" s="25" t="s">
        <v>11</v>
      </c>
      <c r="F1102" s="26"/>
      <c r="G1102" s="36" t="s">
        <v>42</v>
      </c>
      <c r="H1102" s="28">
        <v>733.5</v>
      </c>
      <c r="I1102" s="28">
        <v>16352.765104197391</v>
      </c>
      <c r="J1102" s="29">
        <v>1.1994753203928787E7</v>
      </c>
      <c r="K1102" s="29">
        <v>16352.765104197391</v>
      </c>
      <c r="L1102" s="30">
        <v>49566.91999999999</v>
      </c>
      <c r="M1102" s="29">
        <v>8.105561996985437E8</v>
      </c>
      <c r="N1102" s="31" t="s">
        <v>1218</v>
      </c>
      <c r="O1102" s="32"/>
      <c r="P1102" s="33" t="str">
        <f t="array" ref="P1102">IFERROR(
HYPERLINK(
"https://drive.google.com/file/d/"&amp;
XLOOKUP(O1102,'Hoa-Don'!A:A,'Hoa-Don'!D:D)
&amp;"/view",
"🔎"
),
""
)</f>
        <v/>
      </c>
    </row>
    <row r="1103" ht="22.5" customHeight="1">
      <c r="A1103" s="21">
        <v>1102.0</v>
      </c>
      <c r="B1103" s="22">
        <v>45588.0</v>
      </c>
      <c r="C1103" s="23">
        <v>13.0</v>
      </c>
      <c r="D1103" s="24" t="s">
        <v>1209</v>
      </c>
      <c r="E1103" s="25" t="s">
        <v>11</v>
      </c>
      <c r="F1103" s="26"/>
      <c r="G1103" s="36" t="s">
        <v>42</v>
      </c>
      <c r="H1103" s="28">
        <v>761.0</v>
      </c>
      <c r="I1103" s="28">
        <v>16352.765104197391</v>
      </c>
      <c r="J1103" s="29">
        <v>1.2444454244294215E7</v>
      </c>
      <c r="K1103" s="29">
        <v>16352.765104197391</v>
      </c>
      <c r="L1103" s="30">
        <v>48805.91999999999</v>
      </c>
      <c r="M1103" s="29">
        <v>7.981117454542494E8</v>
      </c>
      <c r="N1103" s="31" t="s">
        <v>1219</v>
      </c>
      <c r="O1103" s="32"/>
      <c r="P1103" s="33" t="str">
        <f t="array" ref="P1103">IFERROR(
HYPERLINK(
"https://drive.google.com/file/d/"&amp;
XLOOKUP(O1103,'Hoa-Don'!A:A,'Hoa-Don'!D:D)
&amp;"/view",
"🔎"
),
""
)</f>
        <v/>
      </c>
    </row>
    <row r="1104" ht="22.5" customHeight="1">
      <c r="A1104" s="21">
        <v>1103.0</v>
      </c>
      <c r="B1104" s="22">
        <v>45600.0</v>
      </c>
      <c r="C1104" s="23">
        <v>14.0</v>
      </c>
      <c r="D1104" s="24" t="s">
        <v>1220</v>
      </c>
      <c r="E1104" s="35" t="s">
        <v>18</v>
      </c>
      <c r="F1104" s="26"/>
      <c r="G1104" s="36" t="s">
        <v>42</v>
      </c>
      <c r="H1104" s="28">
        <v>554.0</v>
      </c>
      <c r="I1104" s="28">
        <v>15858.214371413906</v>
      </c>
      <c r="J1104" s="29">
        <v>8785450.761763304</v>
      </c>
      <c r="K1104" s="29">
        <v>15858.214371413906</v>
      </c>
      <c r="L1104" s="30">
        <v>33484.54000000004</v>
      </c>
      <c r="M1104" s="29">
        <v>5.310050134481844E8</v>
      </c>
      <c r="N1104" s="31" t="s">
        <v>1221</v>
      </c>
      <c r="O1104" s="32"/>
      <c r="P1104" s="33" t="str">
        <f t="array" ref="P1104">IFERROR(
HYPERLINK(
"https://drive.google.com/file/d/"&amp;
XLOOKUP(O1104,'Hoa-Don'!A:A,'Hoa-Don'!D:D)
&amp;"/view",
"🔎"
),
""
)</f>
        <v/>
      </c>
    </row>
    <row r="1105" ht="22.5" customHeight="1">
      <c r="A1105" s="21">
        <v>1104.0</v>
      </c>
      <c r="B1105" s="22">
        <v>45600.0</v>
      </c>
      <c r="C1105" s="23">
        <v>14.0</v>
      </c>
      <c r="D1105" s="24" t="s">
        <v>1220</v>
      </c>
      <c r="E1105" s="25" t="s">
        <v>11</v>
      </c>
      <c r="F1105" s="26"/>
      <c r="G1105" s="36" t="s">
        <v>42</v>
      </c>
      <c r="H1105" s="28">
        <v>412.5</v>
      </c>
      <c r="I1105" s="28">
        <v>16352.765104197391</v>
      </c>
      <c r="J1105" s="29">
        <v>6745515.605481424</v>
      </c>
      <c r="K1105" s="29">
        <v>16352.765104197391</v>
      </c>
      <c r="L1105" s="30">
        <v>48393.41999999999</v>
      </c>
      <c r="M1105" s="29">
        <v>7.91366229848768E8</v>
      </c>
      <c r="N1105" s="31" t="s">
        <v>1222</v>
      </c>
      <c r="O1105" s="32"/>
      <c r="P1105" s="33" t="str">
        <f t="array" ref="P1105">IFERROR(
HYPERLINK(
"https://drive.google.com/file/d/"&amp;
XLOOKUP(O1105,'Hoa-Don'!A:A,'Hoa-Don'!D:D)
&amp;"/view",
"🔎"
),
""
)</f>
        <v/>
      </c>
    </row>
    <row r="1106" ht="22.5" customHeight="1">
      <c r="A1106" s="21">
        <v>1105.0</v>
      </c>
      <c r="B1106" s="22">
        <v>45605.0</v>
      </c>
      <c r="C1106" s="23">
        <v>15.0</v>
      </c>
      <c r="D1106" s="24" t="s">
        <v>460</v>
      </c>
      <c r="E1106" s="35" t="s">
        <v>18</v>
      </c>
      <c r="F1106" s="26"/>
      <c r="G1106" s="36" t="s">
        <v>42</v>
      </c>
      <c r="H1106" s="28">
        <v>294.0</v>
      </c>
      <c r="I1106" s="28">
        <v>15858.214371413906</v>
      </c>
      <c r="J1106" s="29">
        <v>4662315.025195688</v>
      </c>
      <c r="K1106" s="29">
        <v>15858.214371413906</v>
      </c>
      <c r="L1106" s="30">
        <v>33190.54000000004</v>
      </c>
      <c r="M1106" s="29">
        <v>5.2634269842298865E8</v>
      </c>
      <c r="N1106" s="31" t="s">
        <v>1223</v>
      </c>
      <c r="O1106" s="32"/>
      <c r="P1106" s="33" t="str">
        <f t="array" ref="P1106">IFERROR(
HYPERLINK(
"https://drive.google.com/file/d/"&amp;
XLOOKUP(O1106,'Hoa-Don'!A:A,'Hoa-Don'!D:D)
&amp;"/view",
"🔎"
),
""
)</f>
        <v/>
      </c>
    </row>
    <row r="1107" ht="22.5" customHeight="1">
      <c r="A1107" s="21">
        <v>1106.0</v>
      </c>
      <c r="B1107" s="22">
        <v>45609.0</v>
      </c>
      <c r="C1107" s="23">
        <v>608.0</v>
      </c>
      <c r="D1107" s="24" t="s">
        <v>821</v>
      </c>
      <c r="E1107" s="25" t="s">
        <v>11</v>
      </c>
      <c r="F1107" s="26"/>
      <c r="G1107" s="27" t="s">
        <v>38</v>
      </c>
      <c r="H1107" s="28">
        <v>774.0</v>
      </c>
      <c r="I1107" s="28">
        <v>14727.27</v>
      </c>
      <c r="J1107" s="29">
        <v>1.139890698E7</v>
      </c>
      <c r="K1107" s="29">
        <v>16327.176346222115</v>
      </c>
      <c r="L1107" s="30">
        <v>49167.41999999999</v>
      </c>
      <c r="M1107" s="29">
        <v>8.02765136828768E8</v>
      </c>
      <c r="N1107" s="31" t="s">
        <v>1224</v>
      </c>
      <c r="O1107" s="32"/>
      <c r="P1107" s="33" t="str">
        <f t="array" ref="P1107">IFERROR(
HYPERLINK(
"https://drive.google.com/file/d/"&amp;
XLOOKUP(O1107,'Hoa-Don'!A:A,'Hoa-Don'!D:D)
&amp;"/view",
"🔎"
),
""
)</f>
        <v/>
      </c>
    </row>
    <row r="1108" ht="22.5" customHeight="1">
      <c r="A1108" s="21">
        <v>1107.0</v>
      </c>
      <c r="B1108" s="22">
        <v>45610.0</v>
      </c>
      <c r="C1108" s="23">
        <v>16.0</v>
      </c>
      <c r="D1108" s="24" t="s">
        <v>1211</v>
      </c>
      <c r="E1108" s="35" t="s">
        <v>18</v>
      </c>
      <c r="F1108" s="26"/>
      <c r="G1108" s="36" t="s">
        <v>42</v>
      </c>
      <c r="H1108" s="28">
        <v>1162.0</v>
      </c>
      <c r="I1108" s="28">
        <v>15858.214371413906</v>
      </c>
      <c r="J1108" s="29">
        <v>1.842724509958296E7</v>
      </c>
      <c r="K1108" s="29">
        <v>15858.214371413906</v>
      </c>
      <c r="L1108" s="30">
        <v>32028.540000000037</v>
      </c>
      <c r="M1108" s="29">
        <v>5.0791545332340574E8</v>
      </c>
      <c r="N1108" s="31" t="s">
        <v>1225</v>
      </c>
      <c r="O1108" s="32"/>
      <c r="P1108" s="33" t="str">
        <f t="array" ref="P1108">IFERROR(
HYPERLINK(
"https://drive.google.com/file/d/"&amp;
XLOOKUP(O1108,'Hoa-Don'!A:A,'Hoa-Don'!D:D)
&amp;"/view",
"🔎"
),
""
)</f>
        <v/>
      </c>
    </row>
    <row r="1109" ht="22.5" customHeight="1">
      <c r="A1109" s="21">
        <v>1108.0</v>
      </c>
      <c r="B1109" s="22">
        <v>45624.0</v>
      </c>
      <c r="C1109" s="23">
        <v>17.0</v>
      </c>
      <c r="D1109" s="24" t="s">
        <v>1220</v>
      </c>
      <c r="E1109" s="35" t="s">
        <v>18</v>
      </c>
      <c r="F1109" s="26"/>
      <c r="G1109" s="36" t="s">
        <v>42</v>
      </c>
      <c r="H1109" s="28">
        <v>606.3</v>
      </c>
      <c r="I1109" s="28">
        <v>15858.214371413906</v>
      </c>
      <c r="J1109" s="29">
        <v>9614835.37338825</v>
      </c>
      <c r="K1109" s="29">
        <v>15858.214371413906</v>
      </c>
      <c r="L1109" s="30">
        <v>31422.240000000038</v>
      </c>
      <c r="M1109" s="29">
        <v>4.983006179500175E8</v>
      </c>
      <c r="N1109" s="31" t="s">
        <v>1226</v>
      </c>
      <c r="O1109" s="32"/>
      <c r="P1109" s="33" t="str">
        <f t="array" ref="P1109">IFERROR(
HYPERLINK(
"https://drive.google.com/file/d/"&amp;
XLOOKUP(O1109,'Hoa-Don'!A:A,'Hoa-Don'!D:D)
&amp;"/view",
"🔎"
),
""
)</f>
        <v/>
      </c>
    </row>
    <row r="1110" ht="22.5" customHeight="1">
      <c r="A1110" s="21">
        <v>1109.0</v>
      </c>
      <c r="B1110" s="22">
        <v>45624.0</v>
      </c>
      <c r="C1110" s="23">
        <v>17.0</v>
      </c>
      <c r="D1110" s="24" t="s">
        <v>1220</v>
      </c>
      <c r="E1110" s="25" t="s">
        <v>11</v>
      </c>
      <c r="F1110" s="26"/>
      <c r="G1110" s="36" t="s">
        <v>42</v>
      </c>
      <c r="H1110" s="28">
        <v>457.0</v>
      </c>
      <c r="I1110" s="28">
        <v>16327.176346222115</v>
      </c>
      <c r="J1110" s="29">
        <v>7461519.590223507</v>
      </c>
      <c r="K1110" s="29">
        <v>16327.176346222115</v>
      </c>
      <c r="L1110" s="30">
        <v>48710.41999999999</v>
      </c>
      <c r="M1110" s="29">
        <v>7.953036172385445E8</v>
      </c>
      <c r="N1110" s="31" t="s">
        <v>1227</v>
      </c>
      <c r="O1110" s="32"/>
      <c r="P1110" s="33" t="str">
        <f t="array" ref="P1110">IFERROR(
HYPERLINK(
"https://drive.google.com/file/d/"&amp;
XLOOKUP(O1110,'Hoa-Don'!A:A,'Hoa-Don'!D:D)
&amp;"/view",
"🔎"
),
""
)</f>
        <v/>
      </c>
    </row>
    <row r="1111" ht="22.5" customHeight="1">
      <c r="A1111" s="21">
        <v>1110.0</v>
      </c>
      <c r="B1111" s="22">
        <v>45633.0</v>
      </c>
      <c r="C1111" s="23">
        <v>18.0</v>
      </c>
      <c r="D1111" s="24" t="s">
        <v>37</v>
      </c>
      <c r="E1111" s="35" t="s">
        <v>18</v>
      </c>
      <c r="F1111" s="26"/>
      <c r="G1111" s="36" t="s">
        <v>42</v>
      </c>
      <c r="H1111" s="28">
        <v>4705.0</v>
      </c>
      <c r="I1111" s="28">
        <v>15858.214371413906</v>
      </c>
      <c r="J1111" s="29">
        <v>7.461289861750242E7</v>
      </c>
      <c r="K1111" s="29">
        <v>15858.214371413906</v>
      </c>
      <c r="L1111" s="30">
        <v>26717.240000000038</v>
      </c>
      <c r="M1111" s="29">
        <v>4.2368771933251506E8</v>
      </c>
      <c r="N1111" s="31" t="s">
        <v>1228</v>
      </c>
      <c r="O1111" s="32"/>
      <c r="P1111" s="33" t="str">
        <f t="array" ref="P1111">IFERROR(
HYPERLINK(
"https://drive.google.com/file/d/"&amp;
XLOOKUP(O1111,'Hoa-Don'!A:A,'Hoa-Don'!D:D)
&amp;"/view",
"🔎"
),
""
)</f>
        <v/>
      </c>
    </row>
    <row r="1112" ht="22.5" customHeight="1">
      <c r="A1112" s="21">
        <v>1111.0</v>
      </c>
      <c r="B1112" s="22">
        <v>45637.0</v>
      </c>
      <c r="C1112" s="23">
        <v>19.0</v>
      </c>
      <c r="D1112" s="24" t="s">
        <v>1229</v>
      </c>
      <c r="E1112" s="35" t="s">
        <v>18</v>
      </c>
      <c r="F1112" s="26"/>
      <c r="G1112" s="36" t="s">
        <v>42</v>
      </c>
      <c r="H1112" s="28">
        <v>936.0</v>
      </c>
      <c r="I1112" s="28">
        <v>15858.214371413906</v>
      </c>
      <c r="J1112" s="29">
        <v>1.4843288651643416E7</v>
      </c>
      <c r="K1112" s="29">
        <v>15858.214371413906</v>
      </c>
      <c r="L1112" s="30">
        <v>25781.240000000038</v>
      </c>
      <c r="M1112" s="29">
        <v>4.0884443068087167E8</v>
      </c>
      <c r="N1112" s="31" t="s">
        <v>1230</v>
      </c>
      <c r="O1112" s="32"/>
      <c r="P1112" s="33" t="str">
        <f t="array" ref="P1112">IFERROR(
HYPERLINK(
"https://drive.google.com/file/d/"&amp;
XLOOKUP(O1112,'Hoa-Don'!A:A,'Hoa-Don'!D:D)
&amp;"/view",
"🔎"
),
""
)</f>
        <v/>
      </c>
    </row>
    <row r="1113" ht="22.5" customHeight="1">
      <c r="A1113" s="21">
        <v>1112.0</v>
      </c>
      <c r="B1113" s="22">
        <v>45646.0</v>
      </c>
      <c r="C1113" s="23">
        <v>20.0</v>
      </c>
      <c r="D1113" s="24" t="s">
        <v>37</v>
      </c>
      <c r="E1113" s="35" t="s">
        <v>18</v>
      </c>
      <c r="F1113" s="26"/>
      <c r="G1113" s="36" t="s">
        <v>42</v>
      </c>
      <c r="H1113" s="28">
        <v>7059.0</v>
      </c>
      <c r="I1113" s="28">
        <v>15858.214371413906</v>
      </c>
      <c r="J1113" s="29">
        <v>1.1194313524781077E8</v>
      </c>
      <c r="K1113" s="29">
        <v>15858.214371413906</v>
      </c>
      <c r="L1113" s="30">
        <v>18722.240000000038</v>
      </c>
      <c r="M1113" s="29">
        <v>2.969012954330609E8</v>
      </c>
      <c r="N1113" s="31" t="s">
        <v>1231</v>
      </c>
      <c r="O1113" s="32"/>
      <c r="P1113" s="33" t="str">
        <f t="array" ref="P1113">IFERROR(
HYPERLINK(
"https://drive.google.com/file/d/"&amp;
XLOOKUP(O1113,'Hoa-Don'!A:A,'Hoa-Don'!D:D)
&amp;"/view",
"🔎"
),
""
)</f>
        <v/>
      </c>
    </row>
    <row r="1114" ht="22.5" customHeight="1">
      <c r="A1114" s="21">
        <v>1113.0</v>
      </c>
      <c r="B1114" s="22">
        <v>45649.0</v>
      </c>
      <c r="C1114" s="23">
        <v>21.0</v>
      </c>
      <c r="D1114" s="24" t="s">
        <v>1232</v>
      </c>
      <c r="E1114" s="35" t="s">
        <v>18</v>
      </c>
      <c r="F1114" s="26"/>
      <c r="G1114" s="36" t="s">
        <v>42</v>
      </c>
      <c r="H1114" s="28">
        <v>701.0</v>
      </c>
      <c r="I1114" s="28">
        <v>15858.214371413906</v>
      </c>
      <c r="J1114" s="29">
        <v>1.1116608274361148E7</v>
      </c>
      <c r="K1114" s="29">
        <v>15858.214371413906</v>
      </c>
      <c r="L1114" s="30">
        <v>18021.240000000038</v>
      </c>
      <c r="M1114" s="29">
        <v>2.8578468715869975E8</v>
      </c>
      <c r="N1114" s="31" t="s">
        <v>1233</v>
      </c>
      <c r="O1114" s="32"/>
      <c r="P1114" s="33" t="str">
        <f t="array" ref="P1114">IFERROR(
HYPERLINK(
"https://drive.google.com/file/d/"&amp;
XLOOKUP(O1114,'Hoa-Don'!A:A,'Hoa-Don'!D:D)
&amp;"/view",
"🔎"
),
""
)</f>
        <v/>
      </c>
    </row>
    <row r="1115" ht="22.5" customHeight="1">
      <c r="A1115" s="21">
        <v>1114.0</v>
      </c>
      <c r="B1115" s="22">
        <v>45649.0</v>
      </c>
      <c r="C1115" s="23">
        <v>21.0</v>
      </c>
      <c r="D1115" s="24" t="s">
        <v>1232</v>
      </c>
      <c r="E1115" s="25" t="s">
        <v>11</v>
      </c>
      <c r="F1115" s="26"/>
      <c r="G1115" s="36" t="s">
        <v>42</v>
      </c>
      <c r="H1115" s="28">
        <v>322.0</v>
      </c>
      <c r="I1115" s="28">
        <v>16327.176346222115</v>
      </c>
      <c r="J1115" s="29">
        <v>5257350.783483521</v>
      </c>
      <c r="K1115" s="29">
        <v>16327.176346222115</v>
      </c>
      <c r="L1115" s="30">
        <v>48388.41999999999</v>
      </c>
      <c r="M1115" s="29">
        <v>7.90046266455061E8</v>
      </c>
      <c r="N1115" s="31" t="s">
        <v>1234</v>
      </c>
      <c r="O1115" s="32"/>
      <c r="P1115" s="33" t="str">
        <f t="array" ref="P1115">IFERROR(
HYPERLINK(
"https://drive.google.com/file/d/"&amp;
XLOOKUP(O1115,'Hoa-Don'!A:A,'Hoa-Don'!D:D)
&amp;"/view",
"🔎"
),
""
)</f>
        <v/>
      </c>
    </row>
    <row r="1116" ht="22.5" customHeight="1">
      <c r="A1116" s="21">
        <v>1115.0</v>
      </c>
      <c r="B1116" s="22">
        <v>45653.0</v>
      </c>
      <c r="C1116" s="23">
        <v>22.0</v>
      </c>
      <c r="D1116" s="24" t="s">
        <v>460</v>
      </c>
      <c r="E1116" s="25" t="s">
        <v>11</v>
      </c>
      <c r="F1116" s="26"/>
      <c r="G1116" s="36" t="s">
        <v>42</v>
      </c>
      <c r="H1116" s="28">
        <v>2598.0</v>
      </c>
      <c r="I1116" s="28">
        <v>16327.176346222115</v>
      </c>
      <c r="J1116" s="29">
        <v>4.2418004147485055E7</v>
      </c>
      <c r="K1116" s="29">
        <v>16327.176346222115</v>
      </c>
      <c r="L1116" s="30">
        <v>45790.41999999999</v>
      </c>
      <c r="M1116" s="29">
        <v>7.47628262307576E8</v>
      </c>
      <c r="N1116" s="31" t="s">
        <v>1235</v>
      </c>
      <c r="O1116" s="32"/>
      <c r="P1116" s="33" t="str">
        <f t="array" ref="P1116">IFERROR(
HYPERLINK(
"https://drive.google.com/file/d/"&amp;
XLOOKUP(O1116,'Hoa-Don'!A:A,'Hoa-Don'!D:D)
&amp;"/view",
"🔎"
),
""
)</f>
        <v/>
      </c>
    </row>
    <row r="1117" ht="22.5" customHeight="1">
      <c r="A1117" s="21">
        <v>1116.0</v>
      </c>
      <c r="B1117" s="22">
        <v>45656.0</v>
      </c>
      <c r="C1117" s="23">
        <v>23.0</v>
      </c>
      <c r="D1117" s="24" t="s">
        <v>1236</v>
      </c>
      <c r="E1117" s="35" t="s">
        <v>18</v>
      </c>
      <c r="F1117" s="26"/>
      <c r="G1117" s="36" t="s">
        <v>42</v>
      </c>
      <c r="H1117" s="28">
        <v>98.0</v>
      </c>
      <c r="I1117" s="28">
        <v>15858.214371413906</v>
      </c>
      <c r="J1117" s="29">
        <v>1554105.0083985627</v>
      </c>
      <c r="K1117" s="29">
        <v>15858.214371413906</v>
      </c>
      <c r="L1117" s="30">
        <v>17923.240000000038</v>
      </c>
      <c r="M1117" s="29">
        <v>2.8423058215030116E8</v>
      </c>
      <c r="N1117" s="31" t="s">
        <v>1237</v>
      </c>
      <c r="O1117" s="32"/>
      <c r="P1117" s="33" t="str">
        <f t="array" ref="P1117">IFERROR(
HYPERLINK(
"https://drive.google.com/file/d/"&amp;
XLOOKUP(O1117,'Hoa-Don'!A:A,'Hoa-Don'!D:D)
&amp;"/view",
"🔎"
),
""
)</f>
        <v/>
      </c>
    </row>
    <row r="1118" ht="22.5" customHeight="1">
      <c r="A1118" s="21">
        <v>1117.0</v>
      </c>
      <c r="B1118" s="22">
        <v>45657.0</v>
      </c>
      <c r="C1118" s="23">
        <v>24.0</v>
      </c>
      <c r="D1118" s="24" t="s">
        <v>1238</v>
      </c>
      <c r="E1118" s="35" t="s">
        <v>18</v>
      </c>
      <c r="F1118" s="26"/>
      <c r="G1118" s="36" t="s">
        <v>42</v>
      </c>
      <c r="H1118" s="28">
        <v>572.0</v>
      </c>
      <c r="I1118" s="28">
        <v>15858.214371413906</v>
      </c>
      <c r="J1118" s="29">
        <v>9070898.620448753</v>
      </c>
      <c r="K1118" s="29">
        <v>15858.214371413906</v>
      </c>
      <c r="L1118" s="30">
        <v>17351.240000000038</v>
      </c>
      <c r="M1118" s="29">
        <v>2.751596835298524E8</v>
      </c>
      <c r="N1118" s="31" t="s">
        <v>1239</v>
      </c>
      <c r="O1118" s="32"/>
      <c r="P1118" s="33" t="str">
        <f t="array" ref="P1118">IFERROR(
HYPERLINK(
"https://drive.google.com/file/d/"&amp;
XLOOKUP(O1118,'Hoa-Don'!A:A,'Hoa-Don'!D:D)
&amp;"/view",
"🔎"
),
""
)</f>
        <v/>
      </c>
    </row>
    <row r="1119" ht="22.5" customHeight="1">
      <c r="A1119" s="21">
        <v>1118.0</v>
      </c>
      <c r="B1119" s="22">
        <v>45661.0</v>
      </c>
      <c r="C1119" s="23">
        <v>1.0</v>
      </c>
      <c r="D1119" s="24" t="s">
        <v>1240</v>
      </c>
      <c r="E1119" s="35" t="s">
        <v>18</v>
      </c>
      <c r="F1119" s="24" t="s">
        <v>1241</v>
      </c>
      <c r="G1119" s="36" t="s">
        <v>42</v>
      </c>
      <c r="H1119" s="28">
        <v>201.0</v>
      </c>
      <c r="I1119" s="28">
        <v>15858.214371413906</v>
      </c>
      <c r="J1119" s="29">
        <v>3187501.088654195</v>
      </c>
      <c r="K1119" s="29">
        <v>15858.214371413906</v>
      </c>
      <c r="L1119" s="30">
        <v>17150.240000000038</v>
      </c>
      <c r="M1119" s="29">
        <v>2.719721824411982E8</v>
      </c>
      <c r="N1119" s="31" t="s">
        <v>1242</v>
      </c>
      <c r="O1119" s="32"/>
      <c r="P1119" s="33" t="str">
        <f t="array" ref="P1119">IFERROR(
HYPERLINK(
"https://drive.google.com/file/d/"&amp;
XLOOKUP(O1119,'Hoa-Don'!A:A,'Hoa-Don'!D:D)
&amp;"/view",
"🔎"
),
""
)</f>
        <v/>
      </c>
    </row>
    <row r="1120" ht="22.5" customHeight="1">
      <c r="A1120" s="21">
        <v>1119.0</v>
      </c>
      <c r="B1120" s="22">
        <v>45674.0</v>
      </c>
      <c r="C1120" s="23">
        <v>2.0</v>
      </c>
      <c r="D1120" s="24" t="s">
        <v>1243</v>
      </c>
      <c r="E1120" s="25" t="s">
        <v>11</v>
      </c>
      <c r="F1120" s="24" t="s">
        <v>1244</v>
      </c>
      <c r="G1120" s="36" t="s">
        <v>42</v>
      </c>
      <c r="H1120" s="28">
        <v>695.0</v>
      </c>
      <c r="I1120" s="28">
        <v>16327.176346222115</v>
      </c>
      <c r="J1120" s="29">
        <v>1.134738756062437E7</v>
      </c>
      <c r="K1120" s="29">
        <v>16327.176346222115</v>
      </c>
      <c r="L1120" s="30">
        <v>45095.41999999999</v>
      </c>
      <c r="M1120" s="29">
        <v>7.362808747469516E8</v>
      </c>
      <c r="N1120" s="31" t="s">
        <v>1245</v>
      </c>
      <c r="O1120" s="32"/>
      <c r="P1120" s="33" t="str">
        <f t="array" ref="P1120">IFERROR(
HYPERLINK(
"https://drive.google.com/file/d/"&amp;
XLOOKUP(O1120,'Hoa-Don'!A:A,'Hoa-Don'!D:D)
&amp;"/view",
"🔎"
),
""
)</f>
        <v/>
      </c>
    </row>
    <row r="1121" ht="22.5" customHeight="1">
      <c r="A1121" s="21">
        <v>1120.0</v>
      </c>
      <c r="B1121" s="22">
        <v>45695.0</v>
      </c>
      <c r="C1121" s="23">
        <v>133.0</v>
      </c>
      <c r="D1121" s="24" t="s">
        <v>253</v>
      </c>
      <c r="E1121" s="25" t="s">
        <v>11</v>
      </c>
      <c r="F1121" s="24" t="s">
        <v>1246</v>
      </c>
      <c r="G1121" s="27" t="s">
        <v>38</v>
      </c>
      <c r="H1121" s="28">
        <v>1840.0</v>
      </c>
      <c r="I1121" s="28">
        <v>14272.73</v>
      </c>
      <c r="J1121" s="29">
        <v>2.62618232E7</v>
      </c>
      <c r="K1121" s="29">
        <v>16246.636291886847</v>
      </c>
      <c r="L1121" s="30">
        <v>46935.41999999999</v>
      </c>
      <c r="M1121" s="29">
        <v>7.625426979469516E8</v>
      </c>
      <c r="N1121" s="31" t="s">
        <v>1247</v>
      </c>
      <c r="O1121" s="32"/>
      <c r="P1121" s="33" t="str">
        <f t="array" ref="P1121">IFERROR(
HYPERLINK(
"https://drive.google.com/file/d/"&amp;
XLOOKUP(O1121,'Hoa-Don'!A:A,'Hoa-Don'!D:D)
&amp;"/view",
"🔎"
),
""
)</f>
        <v/>
      </c>
    </row>
    <row r="1122" ht="22.5" customHeight="1">
      <c r="A1122" s="21">
        <v>1121.0</v>
      </c>
      <c r="B1122" s="22">
        <v>45695.0</v>
      </c>
      <c r="C1122" s="23">
        <v>133.0</v>
      </c>
      <c r="D1122" s="24" t="s">
        <v>253</v>
      </c>
      <c r="E1122" s="25" t="s">
        <v>11</v>
      </c>
      <c r="F1122" s="24" t="s">
        <v>1248</v>
      </c>
      <c r="G1122" s="27" t="s">
        <v>38</v>
      </c>
      <c r="H1122" s="28">
        <v>2052.0</v>
      </c>
      <c r="I1122" s="28">
        <v>14363.64</v>
      </c>
      <c r="J1122" s="29">
        <v>2.9474189279999997E7</v>
      </c>
      <c r="K1122" s="29">
        <v>16167.76076851877</v>
      </c>
      <c r="L1122" s="30">
        <v>48987.41999999999</v>
      </c>
      <c r="M1122" s="29">
        <v>7.920168872269516E8</v>
      </c>
      <c r="N1122" s="31" t="s">
        <v>1249</v>
      </c>
      <c r="O1122" s="32"/>
      <c r="P1122" s="33" t="str">
        <f t="array" ref="P1122">IFERROR(
HYPERLINK(
"https://drive.google.com/file/d/"&amp;
XLOOKUP(O1122,'Hoa-Don'!A:A,'Hoa-Don'!D:D)
&amp;"/view",
"🔎"
),
""
)</f>
        <v/>
      </c>
    </row>
    <row r="1123" ht="22.5" customHeight="1">
      <c r="A1123" s="21">
        <v>1122.0</v>
      </c>
      <c r="B1123" s="22">
        <v>45695.0</v>
      </c>
      <c r="C1123" s="23">
        <v>133.0</v>
      </c>
      <c r="D1123" s="24" t="s">
        <v>253</v>
      </c>
      <c r="E1123" s="25" t="s">
        <v>11</v>
      </c>
      <c r="F1123" s="24" t="s">
        <v>1250</v>
      </c>
      <c r="G1123" s="27" t="s">
        <v>38</v>
      </c>
      <c r="H1123" s="28">
        <v>804.0</v>
      </c>
      <c r="I1123" s="28">
        <v>15181.82</v>
      </c>
      <c r="J1123" s="29">
        <v>1.220618328E7</v>
      </c>
      <c r="K1123" s="29">
        <v>16151.84042766709</v>
      </c>
      <c r="L1123" s="30">
        <v>49791.41999999999</v>
      </c>
      <c r="M1123" s="29">
        <v>8.042230705069516E8</v>
      </c>
      <c r="N1123" s="31" t="s">
        <v>1251</v>
      </c>
      <c r="O1123" s="32"/>
      <c r="P1123" s="33" t="str">
        <f t="array" ref="P1123">IFERROR(
HYPERLINK(
"https://drive.google.com/file/d/"&amp;
XLOOKUP(O1123,'Hoa-Don'!A:A,'Hoa-Don'!D:D)
&amp;"/view",
"🔎"
),
""
)</f>
        <v/>
      </c>
    </row>
    <row r="1124" ht="22.5" customHeight="1">
      <c r="A1124" s="21">
        <v>1123.0</v>
      </c>
      <c r="B1124" s="22">
        <v>45702.0</v>
      </c>
      <c r="C1124" s="23">
        <v>3.0</v>
      </c>
      <c r="D1124" s="24" t="s">
        <v>1240</v>
      </c>
      <c r="E1124" s="35" t="s">
        <v>18</v>
      </c>
      <c r="F1124" s="24" t="s">
        <v>1241</v>
      </c>
      <c r="G1124" s="36" t="s">
        <v>42</v>
      </c>
      <c r="H1124" s="28">
        <v>278.0</v>
      </c>
      <c r="I1124" s="28">
        <v>15858.214371413906</v>
      </c>
      <c r="J1124" s="29">
        <v>4408583.595253066</v>
      </c>
      <c r="K1124" s="29">
        <v>15858.214371413906</v>
      </c>
      <c r="L1124" s="30">
        <v>16872.240000000038</v>
      </c>
      <c r="M1124" s="29">
        <v>2.6756359884594515E8</v>
      </c>
      <c r="N1124" s="31" t="s">
        <v>1252</v>
      </c>
      <c r="O1124" s="32"/>
      <c r="P1124" s="33" t="str">
        <f t="array" ref="P1124">IFERROR(
HYPERLINK(
"https://drive.google.com/file/d/"&amp;
XLOOKUP(O1124,'Hoa-Don'!A:A,'Hoa-Don'!D:D)
&amp;"/view",
"🔎"
),
""
)</f>
        <v/>
      </c>
    </row>
    <row r="1125" ht="22.5" customHeight="1">
      <c r="A1125" s="21">
        <v>1124.0</v>
      </c>
      <c r="B1125" s="22">
        <v>45703.0</v>
      </c>
      <c r="C1125" s="23">
        <v>4.0</v>
      </c>
      <c r="D1125" s="24" t="s">
        <v>935</v>
      </c>
      <c r="E1125" s="25" t="s">
        <v>11</v>
      </c>
      <c r="F1125" s="24" t="s">
        <v>1253</v>
      </c>
      <c r="G1125" s="36" t="s">
        <v>42</v>
      </c>
      <c r="H1125" s="28">
        <v>20.0</v>
      </c>
      <c r="I1125" s="28">
        <v>16151.84042766709</v>
      </c>
      <c r="J1125" s="29">
        <v>323036.8085533418</v>
      </c>
      <c r="K1125" s="29">
        <v>16151.84042766709</v>
      </c>
      <c r="L1125" s="30">
        <v>49771.41999999999</v>
      </c>
      <c r="M1125" s="29">
        <v>8.039000336983982E8</v>
      </c>
      <c r="N1125" s="31" t="s">
        <v>1254</v>
      </c>
      <c r="O1125" s="32"/>
      <c r="P1125" s="33" t="str">
        <f t="array" ref="P1125">IFERROR(
HYPERLINK(
"https://drive.google.com/file/d/"&amp;
XLOOKUP(O1125,'Hoa-Don'!A:A,'Hoa-Don'!D:D)
&amp;"/view",
"🔎"
),
""
)</f>
        <v/>
      </c>
    </row>
    <row r="1126" ht="22.5" customHeight="1">
      <c r="A1126" s="21">
        <v>1125.0</v>
      </c>
      <c r="B1126" s="22">
        <v>45703.0</v>
      </c>
      <c r="C1126" s="23">
        <v>4.0</v>
      </c>
      <c r="D1126" s="24" t="s">
        <v>935</v>
      </c>
      <c r="E1126" s="25" t="s">
        <v>11</v>
      </c>
      <c r="F1126" s="24" t="s">
        <v>1255</v>
      </c>
      <c r="G1126" s="36" t="s">
        <v>42</v>
      </c>
      <c r="H1126" s="28">
        <v>108.0</v>
      </c>
      <c r="I1126" s="28">
        <v>16151.84042766709</v>
      </c>
      <c r="J1126" s="29">
        <v>1744398.7661880457</v>
      </c>
      <c r="K1126" s="29">
        <v>16151.84042766709</v>
      </c>
      <c r="L1126" s="30">
        <v>49663.41999999999</v>
      </c>
      <c r="M1126" s="29">
        <v>8.021556349322102E8</v>
      </c>
      <c r="N1126" s="31" t="s">
        <v>1256</v>
      </c>
      <c r="O1126" s="32"/>
      <c r="P1126" s="33" t="str">
        <f t="array" ref="P1126">IFERROR(
HYPERLINK(
"https://drive.google.com/file/d/"&amp;
XLOOKUP(O1126,'Hoa-Don'!A:A,'Hoa-Don'!D:D)
&amp;"/view",
"🔎"
),
""
)</f>
        <v/>
      </c>
    </row>
    <row r="1127" ht="22.5" customHeight="1">
      <c r="A1127" s="21">
        <v>1126.0</v>
      </c>
      <c r="B1127" s="22">
        <v>45709.0</v>
      </c>
      <c r="C1127" s="23">
        <v>5.0</v>
      </c>
      <c r="D1127" s="24" t="s">
        <v>1257</v>
      </c>
      <c r="E1127" s="35" t="s">
        <v>18</v>
      </c>
      <c r="F1127" s="24" t="s">
        <v>19</v>
      </c>
      <c r="G1127" s="36" t="s">
        <v>42</v>
      </c>
      <c r="H1127" s="28">
        <v>853.0</v>
      </c>
      <c r="I1127" s="28">
        <v>15858.214371413906</v>
      </c>
      <c r="J1127" s="29">
        <v>1.3527056858816061E7</v>
      </c>
      <c r="K1127" s="29">
        <v>15858.214371413906</v>
      </c>
      <c r="L1127" s="30">
        <v>16019.240000000038</v>
      </c>
      <c r="M1127" s="29">
        <v>2.540365419871291E8</v>
      </c>
      <c r="N1127" s="31" t="s">
        <v>1258</v>
      </c>
      <c r="O1127" s="32"/>
      <c r="P1127" s="33" t="str">
        <f t="array" ref="P1127">IFERROR(
HYPERLINK(
"https://drive.google.com/file/d/"&amp;
XLOOKUP(O1127,'Hoa-Don'!A:A,'Hoa-Don'!D:D)
&amp;"/view",
"🔎"
),
""
)</f>
        <v/>
      </c>
    </row>
    <row r="1128" ht="22.5" customHeight="1">
      <c r="A1128" s="21">
        <v>1127.0</v>
      </c>
      <c r="B1128" s="22">
        <v>45714.0</v>
      </c>
      <c r="C1128" s="23">
        <v>118.0</v>
      </c>
      <c r="D1128" s="24" t="s">
        <v>329</v>
      </c>
      <c r="E1128" s="25" t="s">
        <v>11</v>
      </c>
      <c r="F1128" s="24" t="s">
        <v>1259</v>
      </c>
      <c r="G1128" s="27" t="s">
        <v>38</v>
      </c>
      <c r="H1128" s="28">
        <v>361.5</v>
      </c>
      <c r="I1128" s="28">
        <v>18000.0</v>
      </c>
      <c r="J1128" s="29">
        <v>6507000.0</v>
      </c>
      <c r="K1128" s="29">
        <v>16165.195964975263</v>
      </c>
      <c r="L1128" s="30">
        <v>50024.91999999999</v>
      </c>
      <c r="M1128" s="29">
        <v>8.086626349322102E8</v>
      </c>
      <c r="N1128" s="31" t="s">
        <v>1260</v>
      </c>
      <c r="O1128" s="32"/>
      <c r="P1128" s="33" t="str">
        <f t="array" ref="P1128">IFERROR(
HYPERLINK(
"https://drive.google.com/file/d/"&amp;
XLOOKUP(O1128,'Hoa-Don'!A:A,'Hoa-Don'!D:D)
&amp;"/view",
"🔎"
),
""
)</f>
        <v/>
      </c>
    </row>
    <row r="1129" ht="22.5" customHeight="1">
      <c r="A1129" s="21">
        <v>1128.0</v>
      </c>
      <c r="B1129" s="22">
        <v>45715.0</v>
      </c>
      <c r="C1129" s="23">
        <v>6.0</v>
      </c>
      <c r="D1129" s="24" t="s">
        <v>1238</v>
      </c>
      <c r="E1129" s="35" t="s">
        <v>18</v>
      </c>
      <c r="F1129" s="24" t="s">
        <v>1261</v>
      </c>
      <c r="G1129" s="36" t="s">
        <v>42</v>
      </c>
      <c r="H1129" s="28">
        <v>834.0</v>
      </c>
      <c r="I1129" s="28">
        <v>15858.214371413906</v>
      </c>
      <c r="J1129" s="29">
        <v>1.3225750785759198E7</v>
      </c>
      <c r="K1129" s="29">
        <v>15858.214371413906</v>
      </c>
      <c r="L1129" s="30">
        <v>15185.240000000038</v>
      </c>
      <c r="M1129" s="29">
        <v>2.408107912013699E8</v>
      </c>
      <c r="N1129" s="31" t="s">
        <v>1262</v>
      </c>
      <c r="O1129" s="32"/>
      <c r="P1129" s="33" t="str">
        <f t="array" ref="P1129">IFERROR(
HYPERLINK(
"https://drive.google.com/file/d/"&amp;
XLOOKUP(O1129,'Hoa-Don'!A:A,'Hoa-Don'!D:D)
&amp;"/view",
"🔎"
),
""
)</f>
        <v/>
      </c>
    </row>
    <row r="1130" ht="22.5" customHeight="1">
      <c r="A1130" s="21">
        <v>1129.0</v>
      </c>
      <c r="B1130" s="22">
        <v>45715.0</v>
      </c>
      <c r="C1130" s="23">
        <v>6.0</v>
      </c>
      <c r="D1130" s="24" t="s">
        <v>1238</v>
      </c>
      <c r="E1130" s="35" t="s">
        <v>18</v>
      </c>
      <c r="F1130" s="24" t="s">
        <v>1263</v>
      </c>
      <c r="G1130" s="36" t="s">
        <v>42</v>
      </c>
      <c r="H1130" s="28">
        <v>14.6</v>
      </c>
      <c r="I1130" s="28">
        <v>15858.214371413906</v>
      </c>
      <c r="J1130" s="29">
        <v>231529.92982264303</v>
      </c>
      <c r="K1130" s="29">
        <v>15858.214371413906</v>
      </c>
      <c r="L1130" s="30">
        <v>15170.640000000038</v>
      </c>
      <c r="M1130" s="29">
        <v>2.4057926127154726E8</v>
      </c>
      <c r="N1130" s="31" t="s">
        <v>1264</v>
      </c>
      <c r="O1130" s="32"/>
      <c r="P1130" s="33" t="str">
        <f t="array" ref="P1130">IFERROR(
HYPERLINK(
"https://drive.google.com/file/d/"&amp;
XLOOKUP(O1130,'Hoa-Don'!A:A,'Hoa-Don'!D:D)
&amp;"/view",
"🔎"
),
""
)</f>
        <v/>
      </c>
    </row>
    <row r="1131" ht="22.5" customHeight="1">
      <c r="A1131" s="21">
        <v>1130.0</v>
      </c>
      <c r="B1131" s="22">
        <v>45715.0</v>
      </c>
      <c r="C1131" s="23">
        <v>7.0</v>
      </c>
      <c r="D1131" s="24" t="s">
        <v>935</v>
      </c>
      <c r="E1131" s="25" t="s">
        <v>11</v>
      </c>
      <c r="F1131" s="24" t="s">
        <v>1253</v>
      </c>
      <c r="G1131" s="36" t="s">
        <v>42</v>
      </c>
      <c r="H1131" s="28">
        <v>900.0</v>
      </c>
      <c r="I1131" s="28">
        <v>16165.195964975263</v>
      </c>
      <c r="J1131" s="29">
        <v>1.4548676368477736E7</v>
      </c>
      <c r="K1131" s="29">
        <v>16165.195964975263</v>
      </c>
      <c r="L1131" s="30">
        <v>49124.91999999999</v>
      </c>
      <c r="M1131" s="29">
        <v>7.941139585637324E8</v>
      </c>
      <c r="N1131" s="31" t="s">
        <v>1265</v>
      </c>
      <c r="O1131" s="32"/>
      <c r="P1131" s="33" t="str">
        <f t="array" ref="P1131">IFERROR(
HYPERLINK(
"https://drive.google.com/file/d/"&amp;
XLOOKUP(O1131,'Hoa-Don'!A:A,'Hoa-Don'!D:D)
&amp;"/view",
"🔎"
),
""
)</f>
        <v/>
      </c>
    </row>
    <row r="1132" ht="22.5" customHeight="1">
      <c r="A1132" s="21">
        <v>1131.0</v>
      </c>
      <c r="B1132" s="22">
        <v>45719.0</v>
      </c>
      <c r="C1132" s="23">
        <v>8.0</v>
      </c>
      <c r="D1132" s="24" t="s">
        <v>1240</v>
      </c>
      <c r="E1132" s="35" t="s">
        <v>18</v>
      </c>
      <c r="F1132" s="24" t="s">
        <v>1241</v>
      </c>
      <c r="G1132" s="36" t="s">
        <v>42</v>
      </c>
      <c r="H1132" s="28">
        <v>367.82</v>
      </c>
      <c r="I1132" s="28">
        <v>15858.214371413906</v>
      </c>
      <c r="J1132" s="29">
        <v>5832968.410093463</v>
      </c>
      <c r="K1132" s="29">
        <v>15858.214371413906</v>
      </c>
      <c r="L1132" s="30">
        <v>14802.820000000038</v>
      </c>
      <c r="M1132" s="29">
        <v>2.347462928614538E8</v>
      </c>
      <c r="N1132" s="31" t="s">
        <v>1266</v>
      </c>
      <c r="O1132" s="32"/>
      <c r="P1132" s="33" t="str">
        <f t="array" ref="P1132">IFERROR(
HYPERLINK(
"https://drive.google.com/file/d/"&amp;
XLOOKUP(O1132,'Hoa-Don'!A:A,'Hoa-Don'!D:D)
&amp;"/view",
"🔎"
),
""
)</f>
        <v/>
      </c>
    </row>
    <row r="1133" ht="22.5" customHeight="1">
      <c r="A1133" s="21">
        <v>1132.0</v>
      </c>
      <c r="B1133" s="22">
        <v>45720.0</v>
      </c>
      <c r="C1133" s="23">
        <v>95.0</v>
      </c>
      <c r="D1133" s="24" t="s">
        <v>821</v>
      </c>
      <c r="E1133" s="25" t="s">
        <v>11</v>
      </c>
      <c r="F1133" s="24" t="s">
        <v>1267</v>
      </c>
      <c r="G1133" s="27" t="s">
        <v>38</v>
      </c>
      <c r="H1133" s="28">
        <v>3855.0</v>
      </c>
      <c r="I1133" s="28">
        <v>15000.0</v>
      </c>
      <c r="J1133" s="29">
        <v>5.7825E7</v>
      </c>
      <c r="K1133" s="29">
        <v>16080.412325343876</v>
      </c>
      <c r="L1133" s="30">
        <v>52979.91999999999</v>
      </c>
      <c r="M1133" s="29">
        <v>8.519389585637324E8</v>
      </c>
      <c r="N1133" s="31" t="s">
        <v>1268</v>
      </c>
      <c r="O1133" s="32"/>
      <c r="P1133" s="33" t="str">
        <f t="array" ref="P1133">IFERROR(
HYPERLINK(
"https://drive.google.com/file/d/"&amp;
XLOOKUP(O1133,'Hoa-Don'!A:A,'Hoa-Don'!D:D)
&amp;"/view",
"🔎"
),
""
)</f>
        <v/>
      </c>
    </row>
    <row r="1134" ht="22.5" customHeight="1">
      <c r="A1134" s="21">
        <v>1133.0</v>
      </c>
      <c r="B1134" s="22">
        <v>45726.0</v>
      </c>
      <c r="C1134" s="23">
        <v>9.0</v>
      </c>
      <c r="D1134" s="24" t="s">
        <v>1269</v>
      </c>
      <c r="E1134" s="35" t="s">
        <v>18</v>
      </c>
      <c r="F1134" s="24" t="s">
        <v>19</v>
      </c>
      <c r="G1134" s="36" t="s">
        <v>42</v>
      </c>
      <c r="H1134" s="28">
        <v>202.63</v>
      </c>
      <c r="I1134" s="28">
        <v>15858.214371413906</v>
      </c>
      <c r="J1134" s="29">
        <v>3213349.9780796</v>
      </c>
      <c r="K1134" s="29">
        <v>15858.214371413906</v>
      </c>
      <c r="L1134" s="30">
        <v>14600.190000000039</v>
      </c>
      <c r="M1134" s="29">
        <v>2.315329428833742E8</v>
      </c>
      <c r="N1134" s="31" t="s">
        <v>1270</v>
      </c>
      <c r="O1134" s="32"/>
      <c r="P1134" s="33" t="str">
        <f t="array" ref="P1134">IFERROR(
HYPERLINK(
"https://drive.google.com/file/d/"&amp;
XLOOKUP(O1134,'Hoa-Don'!A:A,'Hoa-Don'!D:D)
&amp;"/view",
"🔎"
),
""
)</f>
        <v/>
      </c>
    </row>
    <row r="1135" ht="22.5" customHeight="1">
      <c r="A1135" s="21">
        <v>1134.0</v>
      </c>
      <c r="B1135" s="22">
        <v>45733.0</v>
      </c>
      <c r="C1135" s="23">
        <v>10.0</v>
      </c>
      <c r="D1135" s="24" t="s">
        <v>115</v>
      </c>
      <c r="E1135" s="35" t="s">
        <v>18</v>
      </c>
      <c r="F1135" s="24" t="s">
        <v>1271</v>
      </c>
      <c r="G1135" s="36" t="s">
        <v>42</v>
      </c>
      <c r="H1135" s="28">
        <v>69.0</v>
      </c>
      <c r="I1135" s="28">
        <v>15858.214371413906</v>
      </c>
      <c r="J1135" s="29">
        <v>1094216.7916275596</v>
      </c>
      <c r="K1135" s="29">
        <v>15858.214371413906</v>
      </c>
      <c r="L1135" s="30">
        <v>14531.190000000039</v>
      </c>
      <c r="M1135" s="29">
        <v>2.3043872609174666E8</v>
      </c>
      <c r="N1135" s="31" t="s">
        <v>1272</v>
      </c>
      <c r="O1135" s="32"/>
      <c r="P1135" s="33" t="str">
        <f t="array" ref="P1135">IFERROR(
HYPERLINK(
"https://drive.google.com/file/d/"&amp;
XLOOKUP(O1135,'Hoa-Don'!A:A,'Hoa-Don'!D:D)
&amp;"/view",
"🔎"
),
""
)</f>
        <v/>
      </c>
    </row>
    <row r="1136" ht="22.5" customHeight="1">
      <c r="A1136" s="21">
        <v>1135.0</v>
      </c>
      <c r="B1136" s="22">
        <v>45733.0</v>
      </c>
      <c r="C1136" s="23">
        <v>10.0</v>
      </c>
      <c r="D1136" s="24" t="s">
        <v>115</v>
      </c>
      <c r="E1136" s="35" t="s">
        <v>18</v>
      </c>
      <c r="F1136" s="24" t="s">
        <v>1273</v>
      </c>
      <c r="G1136" s="36" t="s">
        <v>42</v>
      </c>
      <c r="H1136" s="28">
        <v>351.0</v>
      </c>
      <c r="I1136" s="28">
        <v>15858.214371413906</v>
      </c>
      <c r="J1136" s="29">
        <v>5566233.244366281</v>
      </c>
      <c r="K1136" s="29">
        <v>15858.214371413906</v>
      </c>
      <c r="L1136" s="30">
        <v>14180.190000000039</v>
      </c>
      <c r="M1136" s="29">
        <v>2.2487249284738037E8</v>
      </c>
      <c r="N1136" s="31" t="s">
        <v>1274</v>
      </c>
      <c r="O1136" s="32"/>
      <c r="P1136" s="33" t="str">
        <f t="array" ref="P1136">IFERROR(
HYPERLINK(
"https://drive.google.com/file/d/"&amp;
XLOOKUP(O1136,'Hoa-Don'!A:A,'Hoa-Don'!D:D)
&amp;"/view",
"🔎"
),
""
)</f>
        <v/>
      </c>
    </row>
    <row r="1137" ht="22.5" customHeight="1">
      <c r="A1137" s="21">
        <v>1136.0</v>
      </c>
      <c r="B1137" s="22">
        <v>45733.0</v>
      </c>
      <c r="C1137" s="23">
        <v>10.0</v>
      </c>
      <c r="D1137" s="24" t="s">
        <v>115</v>
      </c>
      <c r="E1137" s="35" t="s">
        <v>18</v>
      </c>
      <c r="F1137" s="24" t="s">
        <v>1271</v>
      </c>
      <c r="G1137" s="36" t="s">
        <v>42</v>
      </c>
      <c r="H1137" s="28">
        <v>167.0</v>
      </c>
      <c r="I1137" s="28">
        <v>15858.214371413906</v>
      </c>
      <c r="J1137" s="29">
        <v>2648321.800026122</v>
      </c>
      <c r="K1137" s="29">
        <v>15858.214371413906</v>
      </c>
      <c r="L1137" s="30">
        <v>14013.190000000039</v>
      </c>
      <c r="M1137" s="29">
        <v>2.2222417104735425E8</v>
      </c>
      <c r="N1137" s="31" t="s">
        <v>1275</v>
      </c>
      <c r="O1137" s="32"/>
      <c r="P1137" s="33" t="str">
        <f t="array" ref="P1137">IFERROR(
HYPERLINK(
"https://drive.google.com/file/d/"&amp;
XLOOKUP(O1137,'Hoa-Don'!A:A,'Hoa-Don'!D:D)
&amp;"/view",
"🔎"
),
""
)</f>
        <v/>
      </c>
    </row>
    <row r="1138" ht="22.5" customHeight="1">
      <c r="A1138" s="21">
        <v>1137.0</v>
      </c>
      <c r="B1138" s="22">
        <v>45733.0</v>
      </c>
      <c r="C1138" s="23">
        <v>10.0</v>
      </c>
      <c r="D1138" s="24" t="s">
        <v>115</v>
      </c>
      <c r="E1138" s="35" t="s">
        <v>18</v>
      </c>
      <c r="F1138" s="24" t="s">
        <v>1276</v>
      </c>
      <c r="G1138" s="36" t="s">
        <v>42</v>
      </c>
      <c r="H1138" s="28">
        <v>91.0</v>
      </c>
      <c r="I1138" s="28">
        <v>15858.214371413906</v>
      </c>
      <c r="J1138" s="29">
        <v>1443097.5077986654</v>
      </c>
      <c r="K1138" s="29">
        <v>15858.214371413906</v>
      </c>
      <c r="L1138" s="30">
        <v>13922.190000000039</v>
      </c>
      <c r="M1138" s="29">
        <v>2.2078107353955558E8</v>
      </c>
      <c r="N1138" s="31" t="s">
        <v>1277</v>
      </c>
      <c r="O1138" s="32"/>
      <c r="P1138" s="33" t="str">
        <f t="array" ref="P1138">IFERROR(
HYPERLINK(
"https://drive.google.com/file/d/"&amp;
XLOOKUP(O1138,'Hoa-Don'!A:A,'Hoa-Don'!D:D)
&amp;"/view",
"🔎"
),
""
)</f>
        <v/>
      </c>
    </row>
    <row r="1139" ht="22.5" customHeight="1">
      <c r="A1139" s="21">
        <v>1138.0</v>
      </c>
      <c r="B1139" s="22">
        <v>45735.0</v>
      </c>
      <c r="C1139" s="23">
        <v>11.0</v>
      </c>
      <c r="D1139" s="24" t="s">
        <v>935</v>
      </c>
      <c r="E1139" s="25" t="s">
        <v>11</v>
      </c>
      <c r="F1139" s="24" t="s">
        <v>1255</v>
      </c>
      <c r="G1139" s="36" t="s">
        <v>42</v>
      </c>
      <c r="H1139" s="28">
        <v>144.0</v>
      </c>
      <c r="I1139" s="28">
        <v>16080.412325343876</v>
      </c>
      <c r="J1139" s="29">
        <v>2315579.3748495183</v>
      </c>
      <c r="K1139" s="29">
        <v>16080.412325343876</v>
      </c>
      <c r="L1139" s="30">
        <v>52835.91999999999</v>
      </c>
      <c r="M1139" s="29">
        <v>8.496233791888828E8</v>
      </c>
      <c r="N1139" s="31" t="s">
        <v>1278</v>
      </c>
      <c r="O1139" s="32"/>
      <c r="P1139" s="33" t="str">
        <f t="array" ref="P1139">IFERROR(
HYPERLINK(
"https://drive.google.com/file/d/"&amp;
XLOOKUP(O1139,'Hoa-Don'!A:A,'Hoa-Don'!D:D)
&amp;"/view",
"🔎"
),
""
)</f>
        <v/>
      </c>
    </row>
    <row r="1140" ht="22.5" customHeight="1">
      <c r="A1140" s="21">
        <v>1139.0</v>
      </c>
      <c r="B1140" s="22">
        <v>45740.0</v>
      </c>
      <c r="C1140" s="23">
        <v>12.0</v>
      </c>
      <c r="D1140" s="24" t="s">
        <v>1200</v>
      </c>
      <c r="E1140" s="35" t="s">
        <v>18</v>
      </c>
      <c r="F1140" s="24" t="s">
        <v>19</v>
      </c>
      <c r="G1140" s="36" t="s">
        <v>42</v>
      </c>
      <c r="H1140" s="28">
        <v>3990.0</v>
      </c>
      <c r="I1140" s="28">
        <v>15858.214371413906</v>
      </c>
      <c r="J1140" s="29">
        <v>6.327427534194148E7</v>
      </c>
      <c r="K1140" s="29">
        <v>15858.214371413906</v>
      </c>
      <c r="L1140" s="30">
        <v>9932.190000000039</v>
      </c>
      <c r="M1140" s="29">
        <v>1.575067981976141E8</v>
      </c>
      <c r="N1140" s="31" t="s">
        <v>1279</v>
      </c>
      <c r="O1140" s="32"/>
      <c r="P1140" s="33" t="str">
        <f t="array" ref="P1140">IFERROR(
HYPERLINK(
"https://drive.google.com/file/d/"&amp;
XLOOKUP(O1140,'Hoa-Don'!A:A,'Hoa-Don'!D:D)
&amp;"/view",
"🔎"
),
""
)</f>
        <v/>
      </c>
    </row>
    <row r="1141" ht="22.5" customHeight="1">
      <c r="A1141" s="21">
        <v>1140.0</v>
      </c>
      <c r="B1141" s="22">
        <v>45745.0</v>
      </c>
      <c r="C1141" s="23">
        <v>13.0</v>
      </c>
      <c r="D1141" s="24" t="s">
        <v>935</v>
      </c>
      <c r="E1141" s="35" t="s">
        <v>18</v>
      </c>
      <c r="F1141" s="24" t="s">
        <v>1280</v>
      </c>
      <c r="G1141" s="36" t="s">
        <v>42</v>
      </c>
      <c r="H1141" s="28">
        <v>653.12</v>
      </c>
      <c r="I1141" s="28">
        <v>15858.214371413906</v>
      </c>
      <c r="J1141" s="29">
        <v>1.035731697025785E7</v>
      </c>
      <c r="K1141" s="29">
        <v>15858.214371413906</v>
      </c>
      <c r="L1141" s="30">
        <v>9279.070000000038</v>
      </c>
      <c r="M1141" s="29">
        <v>1.4714948122735623E8</v>
      </c>
      <c r="N1141" s="31" t="s">
        <v>1281</v>
      </c>
      <c r="O1141" s="32"/>
      <c r="P1141" s="33" t="str">
        <f t="array" ref="P1141">IFERROR(
HYPERLINK(
"https://drive.google.com/file/d/"&amp;
XLOOKUP(O1141,'Hoa-Don'!A:A,'Hoa-Don'!D:D)
&amp;"/view",
"🔎"
),
""
)</f>
        <v/>
      </c>
    </row>
    <row r="1142" ht="22.5" customHeight="1">
      <c r="A1142" s="21">
        <v>1141.0</v>
      </c>
      <c r="B1142" s="22">
        <v>45745.0</v>
      </c>
      <c r="C1142" s="23">
        <v>13.0</v>
      </c>
      <c r="D1142" s="24" t="s">
        <v>935</v>
      </c>
      <c r="E1142" s="35" t="s">
        <v>18</v>
      </c>
      <c r="F1142" s="24" t="s">
        <v>1282</v>
      </c>
      <c r="G1142" s="36" t="s">
        <v>42</v>
      </c>
      <c r="H1142" s="28">
        <v>753.6</v>
      </c>
      <c r="I1142" s="28">
        <v>15858.214371413906</v>
      </c>
      <c r="J1142" s="29">
        <v>1.195075035029752E7</v>
      </c>
      <c r="K1142" s="29">
        <v>15858.214371413906</v>
      </c>
      <c r="L1142" s="30">
        <v>8525.470000000038</v>
      </c>
      <c r="M1142" s="29">
        <v>1.351987308770587E8</v>
      </c>
      <c r="N1142" s="31" t="s">
        <v>1283</v>
      </c>
      <c r="O1142" s="32"/>
      <c r="P1142" s="33" t="str">
        <f t="array" ref="P1142">IFERROR(
HYPERLINK(
"https://drive.google.com/file/d/"&amp;
XLOOKUP(O1142,'Hoa-Don'!A:A,'Hoa-Don'!D:D)
&amp;"/view",
"🔎"
),
""
)</f>
        <v/>
      </c>
    </row>
    <row r="1143" ht="22.5" customHeight="1">
      <c r="A1143" s="21">
        <v>1142.0</v>
      </c>
      <c r="B1143" s="22">
        <v>45758.0</v>
      </c>
      <c r="C1143" s="23">
        <v>14.0</v>
      </c>
      <c r="D1143" s="24" t="s">
        <v>1238</v>
      </c>
      <c r="E1143" s="35" t="s">
        <v>18</v>
      </c>
      <c r="F1143" s="24" t="s">
        <v>1284</v>
      </c>
      <c r="G1143" s="36" t="s">
        <v>42</v>
      </c>
      <c r="H1143" s="28">
        <v>526.0</v>
      </c>
      <c r="I1143" s="28">
        <v>15858.214371413906</v>
      </c>
      <c r="J1143" s="29">
        <v>8341420.759363715</v>
      </c>
      <c r="K1143" s="29">
        <v>15858.214371413906</v>
      </c>
      <c r="L1143" s="30">
        <v>7999.4700000000375</v>
      </c>
      <c r="M1143" s="29">
        <v>1.2685731011769499E8</v>
      </c>
      <c r="N1143" s="31" t="s">
        <v>1285</v>
      </c>
      <c r="O1143" s="32"/>
      <c r="P1143" s="33" t="str">
        <f t="array" ref="P1143">IFERROR(
HYPERLINK(
"https://drive.google.com/file/d/"&amp;
XLOOKUP(O1143,'Hoa-Don'!A:A,'Hoa-Don'!D:D)
&amp;"/view",
"🔎"
),
""
)</f>
        <v/>
      </c>
    </row>
    <row r="1144" ht="22.5" customHeight="1">
      <c r="A1144" s="21">
        <v>1143.0</v>
      </c>
      <c r="B1144" s="22">
        <v>45761.0</v>
      </c>
      <c r="C1144" s="23">
        <v>690.0</v>
      </c>
      <c r="D1144" s="24" t="s">
        <v>1286</v>
      </c>
      <c r="E1144" s="25" t="s">
        <v>11</v>
      </c>
      <c r="F1144" s="24" t="s">
        <v>1287</v>
      </c>
      <c r="G1144" s="27" t="s">
        <v>38</v>
      </c>
      <c r="H1144" s="28">
        <v>4293.0</v>
      </c>
      <c r="I1144" s="28">
        <v>15454.55</v>
      </c>
      <c r="J1144" s="29">
        <v>6.634638315E7</v>
      </c>
      <c r="K1144" s="29">
        <v>16033.38138264968</v>
      </c>
      <c r="L1144" s="30">
        <v>57128.91999999999</v>
      </c>
      <c r="M1144" s="29">
        <v>9.159697623388828E8</v>
      </c>
      <c r="N1144" s="31" t="s">
        <v>1288</v>
      </c>
      <c r="O1144" s="32"/>
      <c r="P1144" s="33" t="str">
        <f t="array" ref="P1144">IFERROR(
HYPERLINK(
"https://drive.google.com/file/d/"&amp;
XLOOKUP(O1144,'Hoa-Don'!A:A,'Hoa-Don'!D:D)
&amp;"/view",
"🔎"
),
""
)</f>
        <v/>
      </c>
    </row>
    <row r="1145" ht="22.5" customHeight="1">
      <c r="A1145" s="21">
        <v>1144.0</v>
      </c>
      <c r="B1145" s="22">
        <v>45770.0</v>
      </c>
      <c r="C1145" s="23">
        <v>15.0</v>
      </c>
      <c r="D1145" s="24" t="s">
        <v>1238</v>
      </c>
      <c r="E1145" s="35" t="s">
        <v>18</v>
      </c>
      <c r="F1145" s="24" t="s">
        <v>1289</v>
      </c>
      <c r="G1145" s="36" t="s">
        <v>42</v>
      </c>
      <c r="H1145" s="28">
        <v>383.0</v>
      </c>
      <c r="I1145" s="28">
        <v>15858.214371413906</v>
      </c>
      <c r="J1145" s="29">
        <v>6073696.104251526</v>
      </c>
      <c r="K1145" s="29">
        <v>15858.214371413906</v>
      </c>
      <c r="L1145" s="30">
        <v>7616.4700000000375</v>
      </c>
      <c r="M1145" s="29">
        <v>1.2078361401344347E8</v>
      </c>
      <c r="N1145" s="31" t="s">
        <v>1290</v>
      </c>
      <c r="O1145" s="32"/>
      <c r="P1145" s="33" t="str">
        <f t="array" ref="P1145">IFERROR(
HYPERLINK(
"https://drive.google.com/file/d/"&amp;
XLOOKUP(O1145,'Hoa-Don'!A:A,'Hoa-Don'!D:D)
&amp;"/view",
"🔎"
),
""
)</f>
        <v/>
      </c>
    </row>
    <row r="1146" ht="22.5" customHeight="1">
      <c r="A1146" s="21">
        <v>1145.0</v>
      </c>
      <c r="B1146" s="22">
        <v>45770.0</v>
      </c>
      <c r="C1146" s="23">
        <v>16.0</v>
      </c>
      <c r="D1146" s="24" t="s">
        <v>1240</v>
      </c>
      <c r="E1146" s="35" t="s">
        <v>18</v>
      </c>
      <c r="F1146" s="24" t="s">
        <v>1291</v>
      </c>
      <c r="G1146" s="36" t="s">
        <v>42</v>
      </c>
      <c r="H1146" s="28">
        <v>516.0</v>
      </c>
      <c r="I1146" s="28">
        <v>15858.214371413906</v>
      </c>
      <c r="J1146" s="29">
        <v>8182838.615649575</v>
      </c>
      <c r="K1146" s="29">
        <v>15858.214371413906</v>
      </c>
      <c r="L1146" s="30">
        <v>7100.4700000000375</v>
      </c>
      <c r="M1146" s="29">
        <v>1.1260077539779389E8</v>
      </c>
      <c r="N1146" s="31" t="s">
        <v>1292</v>
      </c>
      <c r="O1146" s="32"/>
      <c r="P1146" s="33" t="str">
        <f t="array" ref="P1146">IFERROR(
HYPERLINK(
"https://drive.google.com/file/d/"&amp;
XLOOKUP(O1146,'Hoa-Don'!A:A,'Hoa-Don'!D:D)
&amp;"/view",
"🔎"
),
""
)</f>
        <v/>
      </c>
    </row>
    <row r="1147" ht="22.5" customHeight="1">
      <c r="A1147" s="21">
        <v>1146.0</v>
      </c>
      <c r="B1147" s="22">
        <v>45782.0</v>
      </c>
      <c r="C1147" s="23">
        <v>17.0</v>
      </c>
      <c r="D1147" s="24" t="s">
        <v>1293</v>
      </c>
      <c r="E1147" s="25" t="s">
        <v>11</v>
      </c>
      <c r="F1147" s="24" t="s">
        <v>1259</v>
      </c>
      <c r="G1147" s="36" t="s">
        <v>42</v>
      </c>
      <c r="H1147" s="28">
        <v>4293.0</v>
      </c>
      <c r="I1147" s="28">
        <v>16033.38138264968</v>
      </c>
      <c r="J1147" s="29">
        <v>6.883130627571508E7</v>
      </c>
      <c r="K1147" s="29">
        <v>16033.38138264968</v>
      </c>
      <c r="L1147" s="30">
        <v>52835.91999999999</v>
      </c>
      <c r="M1147" s="29">
        <v>8.471384560631678E8</v>
      </c>
      <c r="N1147" s="31" t="s">
        <v>1294</v>
      </c>
      <c r="O1147" s="32"/>
      <c r="P1147" s="33" t="str">
        <f t="array" ref="P1147">IFERROR(
HYPERLINK(
"https://drive.google.com/file/d/"&amp;
XLOOKUP(O1147,'Hoa-Don'!A:A,'Hoa-Don'!D:D)
&amp;"/view",
"🔎"
),
""
)</f>
        <v/>
      </c>
    </row>
    <row r="1148" ht="22.5" customHeight="1">
      <c r="A1148" s="21">
        <v>1147.0</v>
      </c>
      <c r="B1148" s="22">
        <v>45782.0</v>
      </c>
      <c r="C1148" s="23">
        <v>17.0</v>
      </c>
      <c r="D1148" s="24" t="s">
        <v>1293</v>
      </c>
      <c r="E1148" s="35" t="s">
        <v>18</v>
      </c>
      <c r="F1148" s="24" t="s">
        <v>19</v>
      </c>
      <c r="G1148" s="36" t="s">
        <v>42</v>
      </c>
      <c r="H1148" s="28">
        <v>200.4</v>
      </c>
      <c r="I1148" s="28">
        <v>15858.214371413906</v>
      </c>
      <c r="J1148" s="29">
        <v>3177986.1600313466</v>
      </c>
      <c r="K1148" s="29">
        <v>15858.214371413906</v>
      </c>
      <c r="L1148" s="30">
        <v>6900.070000000038</v>
      </c>
      <c r="M1148" s="29">
        <v>1.0942278923776256E8</v>
      </c>
      <c r="N1148" s="31" t="s">
        <v>1295</v>
      </c>
      <c r="O1148" s="32"/>
      <c r="P1148" s="33" t="str">
        <f t="array" ref="P1148">IFERROR(
HYPERLINK(
"https://drive.google.com/file/d/"&amp;
XLOOKUP(O1148,'Hoa-Don'!A:A,'Hoa-Don'!D:D)
&amp;"/view",
"🔎"
),
""
)</f>
        <v/>
      </c>
    </row>
    <row r="1149" ht="22.5" customHeight="1">
      <c r="A1149" s="21">
        <v>1148.0</v>
      </c>
      <c r="B1149" s="22">
        <v>45789.0</v>
      </c>
      <c r="C1149" s="23">
        <v>18.0</v>
      </c>
      <c r="D1149" s="24" t="s">
        <v>1238</v>
      </c>
      <c r="E1149" s="35" t="s">
        <v>18</v>
      </c>
      <c r="F1149" s="24" t="s">
        <v>1261</v>
      </c>
      <c r="G1149" s="36" t="s">
        <v>42</v>
      </c>
      <c r="H1149" s="28">
        <v>373.6</v>
      </c>
      <c r="I1149" s="28">
        <v>15858.214371413906</v>
      </c>
      <c r="J1149" s="29">
        <v>5924628.889160235</v>
      </c>
      <c r="K1149" s="29">
        <v>15858.214371413906</v>
      </c>
      <c r="L1149" s="30">
        <v>6526.4700000000375</v>
      </c>
      <c r="M1149" s="29">
        <v>1.0349816034860231E8</v>
      </c>
      <c r="N1149" s="31" t="s">
        <v>1296</v>
      </c>
      <c r="O1149" s="32"/>
      <c r="P1149" s="33" t="str">
        <f t="array" ref="P1149">IFERROR(
HYPERLINK(
"https://drive.google.com/file/d/"&amp;
XLOOKUP(O1149,'Hoa-Don'!A:A,'Hoa-Don'!D:D)
&amp;"/view",
"🔎"
),
""
)</f>
        <v/>
      </c>
    </row>
    <row r="1150" ht="22.5" customHeight="1">
      <c r="A1150" s="21">
        <v>1149.0</v>
      </c>
      <c r="B1150" s="22">
        <v>45789.0</v>
      </c>
      <c r="C1150" s="23">
        <v>18.0</v>
      </c>
      <c r="D1150" s="24" t="s">
        <v>1238</v>
      </c>
      <c r="E1150" s="35" t="s">
        <v>18</v>
      </c>
      <c r="F1150" s="24" t="s">
        <v>1284</v>
      </c>
      <c r="G1150" s="36" t="s">
        <v>42</v>
      </c>
      <c r="H1150" s="28">
        <v>175.2</v>
      </c>
      <c r="I1150" s="28">
        <v>15858.214371413906</v>
      </c>
      <c r="J1150" s="29">
        <v>2778359.157871716</v>
      </c>
      <c r="K1150" s="29">
        <v>15858.214371413906</v>
      </c>
      <c r="L1150" s="30">
        <v>6351.270000000038</v>
      </c>
      <c r="M1150" s="29">
        <v>1.007198011907306E8</v>
      </c>
      <c r="N1150" s="31" t="s">
        <v>1297</v>
      </c>
      <c r="O1150" s="32"/>
      <c r="P1150" s="33" t="str">
        <f t="array" ref="P1150">IFERROR(
HYPERLINK(
"https://drive.google.com/file/d/"&amp;
XLOOKUP(O1150,'Hoa-Don'!A:A,'Hoa-Don'!D:D)
&amp;"/view",
"🔎"
),
""
)</f>
        <v/>
      </c>
    </row>
    <row r="1151" ht="22.5" customHeight="1">
      <c r="A1151" s="21">
        <v>1150.0</v>
      </c>
      <c r="B1151" s="22">
        <v>45793.0</v>
      </c>
      <c r="C1151" s="23">
        <v>264.0</v>
      </c>
      <c r="D1151" s="24" t="s">
        <v>821</v>
      </c>
      <c r="E1151" s="25" t="s">
        <v>11</v>
      </c>
      <c r="F1151" s="24" t="s">
        <v>1267</v>
      </c>
      <c r="G1151" s="27" t="s">
        <v>38</v>
      </c>
      <c r="H1151" s="28">
        <v>2516.0</v>
      </c>
      <c r="I1151" s="28">
        <v>15000.0</v>
      </c>
      <c r="J1151" s="29">
        <v>3.774E7</v>
      </c>
      <c r="K1151" s="29">
        <v>15986.409433731802</v>
      </c>
      <c r="L1151" s="30">
        <v>55351.91999999999</v>
      </c>
      <c r="M1151" s="29">
        <v>8.848784560631678E8</v>
      </c>
      <c r="N1151" s="31" t="s">
        <v>1298</v>
      </c>
      <c r="O1151" s="32"/>
      <c r="P1151" s="33" t="str">
        <f t="array" ref="P1151">IFERROR(
HYPERLINK(
"https://drive.google.com/file/d/"&amp;
XLOOKUP(O1151,'Hoa-Don'!A:A,'Hoa-Don'!D:D)
&amp;"/view",
"🔎"
),
""
)</f>
        <v/>
      </c>
    </row>
    <row r="1152" ht="22.5" customHeight="1">
      <c r="A1152" s="21">
        <v>1151.0</v>
      </c>
      <c r="B1152" s="22">
        <v>45794.0</v>
      </c>
      <c r="C1152" s="23">
        <v>19.0</v>
      </c>
      <c r="D1152" s="24" t="s">
        <v>1232</v>
      </c>
      <c r="E1152" s="35" t="s">
        <v>18</v>
      </c>
      <c r="F1152" s="24" t="s">
        <v>1291</v>
      </c>
      <c r="G1152" s="36" t="s">
        <v>42</v>
      </c>
      <c r="H1152" s="28">
        <v>720.0</v>
      </c>
      <c r="I1152" s="28">
        <v>15858.214371413906</v>
      </c>
      <c r="J1152" s="29">
        <v>1.1417914347418012E7</v>
      </c>
      <c r="K1152" s="29">
        <v>15858.214371413906</v>
      </c>
      <c r="L1152" s="30">
        <v>5631.270000000038</v>
      </c>
      <c r="M1152" s="29">
        <v>8.930188684331258E7</v>
      </c>
      <c r="N1152" s="31" t="s">
        <v>1299</v>
      </c>
      <c r="O1152" s="32"/>
      <c r="P1152" s="33" t="str">
        <f t="array" ref="P1152">IFERROR(
HYPERLINK(
"https://drive.google.com/file/d/"&amp;
XLOOKUP(O1152,'Hoa-Don'!A:A,'Hoa-Don'!D:D)
&amp;"/view",
"🔎"
),
""
)</f>
        <v/>
      </c>
    </row>
    <row r="1153" ht="22.5" customHeight="1">
      <c r="A1153" s="21">
        <v>1152.0</v>
      </c>
      <c r="B1153" s="22">
        <v>45794.0</v>
      </c>
      <c r="C1153" s="23">
        <v>19.0</v>
      </c>
      <c r="D1153" s="24" t="s">
        <v>1232</v>
      </c>
      <c r="E1153" s="25" t="s">
        <v>11</v>
      </c>
      <c r="F1153" s="24" t="s">
        <v>1300</v>
      </c>
      <c r="G1153" s="36" t="s">
        <v>42</v>
      </c>
      <c r="H1153" s="28">
        <v>360.0</v>
      </c>
      <c r="I1153" s="28">
        <v>15986.409433731802</v>
      </c>
      <c r="J1153" s="29">
        <v>5755107.396143449</v>
      </c>
      <c r="K1153" s="29">
        <v>15986.409433731802</v>
      </c>
      <c r="L1153" s="30">
        <v>54991.91999999999</v>
      </c>
      <c r="M1153" s="29">
        <v>8.791233486670244E8</v>
      </c>
      <c r="N1153" s="31" t="s">
        <v>1301</v>
      </c>
      <c r="O1153" s="32"/>
      <c r="P1153" s="33" t="str">
        <f t="array" ref="P1153">IFERROR(
HYPERLINK(
"https://drive.google.com/file/d/"&amp;
XLOOKUP(O1153,'Hoa-Don'!A:A,'Hoa-Don'!D:D)
&amp;"/view",
"🔎"
),
""
)</f>
        <v/>
      </c>
    </row>
    <row r="1154" ht="22.5" customHeight="1">
      <c r="A1154" s="21">
        <v>1153.0</v>
      </c>
      <c r="B1154" s="22">
        <v>45796.0</v>
      </c>
      <c r="C1154" s="23">
        <v>20.0</v>
      </c>
      <c r="D1154" s="24" t="s">
        <v>1302</v>
      </c>
      <c r="E1154" s="35" t="s">
        <v>18</v>
      </c>
      <c r="F1154" s="24" t="s">
        <v>1291</v>
      </c>
      <c r="G1154" s="36" t="s">
        <v>42</v>
      </c>
      <c r="H1154" s="28">
        <v>191.5</v>
      </c>
      <c r="I1154" s="28">
        <v>15858.214371413906</v>
      </c>
      <c r="J1154" s="29">
        <v>3036848.052125763</v>
      </c>
      <c r="K1154" s="29">
        <v>15858.214371413906</v>
      </c>
      <c r="L1154" s="30">
        <v>5439.770000000038</v>
      </c>
      <c r="M1154" s="29">
        <v>8.626503879118682E7</v>
      </c>
      <c r="N1154" s="31" t="s">
        <v>1303</v>
      </c>
      <c r="O1154" s="32"/>
      <c r="P1154" s="33" t="str">
        <f t="array" ref="P1154">IFERROR(
HYPERLINK(
"https://drive.google.com/file/d/"&amp;
XLOOKUP(O1154,'Hoa-Don'!A:A,'Hoa-Don'!D:D)
&amp;"/view",
"🔎"
),
""
)</f>
        <v/>
      </c>
    </row>
    <row r="1155" ht="22.5" customHeight="1">
      <c r="A1155" s="21">
        <v>1154.0</v>
      </c>
      <c r="B1155" s="22">
        <v>45796.0</v>
      </c>
      <c r="C1155" s="23">
        <v>20.0</v>
      </c>
      <c r="D1155" s="24" t="s">
        <v>1302</v>
      </c>
      <c r="E1155" s="25" t="s">
        <v>11</v>
      </c>
      <c r="F1155" s="24" t="s">
        <v>1300</v>
      </c>
      <c r="G1155" s="36" t="s">
        <v>42</v>
      </c>
      <c r="H1155" s="28">
        <v>1616.9</v>
      </c>
      <c r="I1155" s="28">
        <v>15986.409433731802</v>
      </c>
      <c r="J1155" s="29">
        <v>2.584842541340095E7</v>
      </c>
      <c r="K1155" s="29">
        <v>15986.409433731802</v>
      </c>
      <c r="L1155" s="30">
        <v>53375.01999999999</v>
      </c>
      <c r="M1155" s="29">
        <v>8.532749232536235E8</v>
      </c>
      <c r="N1155" s="31" t="s">
        <v>1304</v>
      </c>
      <c r="O1155" s="32"/>
      <c r="P1155" s="33" t="str">
        <f t="array" ref="P1155">IFERROR(
HYPERLINK(
"https://drive.google.com/file/d/"&amp;
XLOOKUP(O1155,'Hoa-Don'!A:A,'Hoa-Don'!D:D)
&amp;"/view",
"🔎"
),
""
)</f>
        <v/>
      </c>
    </row>
    <row r="1156" ht="22.5" customHeight="1">
      <c r="A1156" s="21">
        <v>1155.0</v>
      </c>
      <c r="B1156" s="22">
        <v>45811.0</v>
      </c>
      <c r="C1156" s="23">
        <v>21.0</v>
      </c>
      <c r="D1156" s="24" t="s">
        <v>1232</v>
      </c>
      <c r="E1156" s="25" t="s">
        <v>11</v>
      </c>
      <c r="F1156" s="24" t="s">
        <v>1300</v>
      </c>
      <c r="G1156" s="36" t="s">
        <v>42</v>
      </c>
      <c r="H1156" s="28">
        <v>1022.0</v>
      </c>
      <c r="I1156" s="28">
        <v>15986.409433731802</v>
      </c>
      <c r="J1156" s="29">
        <v>1.6338110441273902E7</v>
      </c>
      <c r="K1156" s="29">
        <v>15986.409433731802</v>
      </c>
      <c r="L1156" s="30">
        <v>52353.01999999999</v>
      </c>
      <c r="M1156" s="29">
        <v>8.369368128123496E8</v>
      </c>
      <c r="N1156" s="31" t="s">
        <v>1305</v>
      </c>
      <c r="O1156" s="32"/>
      <c r="P1156" s="33" t="str">
        <f t="array" ref="P1156">IFERROR(
HYPERLINK(
"https://drive.google.com/file/d/"&amp;
XLOOKUP(O1156,'Hoa-Don'!A:A,'Hoa-Don'!D:D)
&amp;"/view",
"🔎"
),
""
)</f>
        <v/>
      </c>
    </row>
    <row r="1157" ht="22.5" customHeight="1">
      <c r="A1157" s="21">
        <v>1156.0</v>
      </c>
      <c r="B1157" s="22">
        <v>45817.0</v>
      </c>
      <c r="C1157" s="23">
        <v>22.0</v>
      </c>
      <c r="D1157" s="24" t="s">
        <v>1238</v>
      </c>
      <c r="E1157" s="35" t="s">
        <v>18</v>
      </c>
      <c r="F1157" s="24" t="s">
        <v>1291</v>
      </c>
      <c r="G1157" s="36" t="s">
        <v>42</v>
      </c>
      <c r="H1157" s="28">
        <v>722.0</v>
      </c>
      <c r="I1157" s="28">
        <v>15858.214371413906</v>
      </c>
      <c r="J1157" s="29">
        <v>1.144963077616084E7</v>
      </c>
      <c r="K1157" s="29">
        <v>15858.214371413906</v>
      </c>
      <c r="L1157" s="30">
        <v>4717.770000000038</v>
      </c>
      <c r="M1157" s="29">
        <v>7.481540801502597E7</v>
      </c>
      <c r="N1157" s="31" t="s">
        <v>1306</v>
      </c>
      <c r="O1157" s="32"/>
      <c r="P1157" s="33" t="str">
        <f t="array" ref="P1157">IFERROR(
HYPERLINK(
"https://drive.google.com/file/d/"&amp;
XLOOKUP(O1157,'Hoa-Don'!A:A,'Hoa-Don'!D:D)
&amp;"/view",
"🔎"
),
""
)</f>
        <v/>
      </c>
    </row>
    <row r="1158" ht="22.5" customHeight="1">
      <c r="A1158" s="21">
        <v>1157.0</v>
      </c>
      <c r="B1158" s="22">
        <v>45821.0</v>
      </c>
      <c r="C1158" s="23">
        <v>23.0</v>
      </c>
      <c r="D1158" s="24" t="s">
        <v>1307</v>
      </c>
      <c r="E1158" s="25" t="s">
        <v>11</v>
      </c>
      <c r="F1158" s="24" t="s">
        <v>1300</v>
      </c>
      <c r="G1158" s="36" t="s">
        <v>42</v>
      </c>
      <c r="H1158" s="28">
        <v>7270.0</v>
      </c>
      <c r="I1158" s="28">
        <v>15986.409433731802</v>
      </c>
      <c r="J1158" s="29">
        <v>1.162211965832302E8</v>
      </c>
      <c r="K1158" s="29">
        <v>15986.409433731802</v>
      </c>
      <c r="L1158" s="30">
        <v>45083.01999999999</v>
      </c>
      <c r="M1158" s="29">
        <v>7.207156162291193E8</v>
      </c>
      <c r="N1158" s="31" t="s">
        <v>1308</v>
      </c>
      <c r="O1158" s="32"/>
      <c r="P1158" s="33" t="str">
        <f t="array" ref="P1158">IFERROR(
HYPERLINK(
"https://drive.google.com/file/d/"&amp;
XLOOKUP(O1158,'Hoa-Don'!A:A,'Hoa-Don'!D:D)
&amp;"/view",
"🔎"
),
""
)</f>
        <v/>
      </c>
    </row>
    <row r="1159" ht="22.5" customHeight="1">
      <c r="A1159" s="21">
        <v>1158.0</v>
      </c>
      <c r="B1159" s="22">
        <v>45827.0</v>
      </c>
      <c r="C1159" s="23">
        <v>24.0</v>
      </c>
      <c r="D1159" s="24" t="s">
        <v>37</v>
      </c>
      <c r="E1159" s="35" t="s">
        <v>18</v>
      </c>
      <c r="F1159" s="24" t="s">
        <v>1291</v>
      </c>
      <c r="G1159" s="36" t="s">
        <v>42</v>
      </c>
      <c r="H1159" s="28">
        <v>4034.11</v>
      </c>
      <c r="I1159" s="28">
        <v>15858.214371413906</v>
      </c>
      <c r="J1159" s="29">
        <v>6.397378117786455E7</v>
      </c>
      <c r="K1159" s="29">
        <v>15858.214371413906</v>
      </c>
      <c r="L1159" s="30">
        <v>683.6600000000376</v>
      </c>
      <c r="M1159" s="29">
        <v>1.0841626837161427E7</v>
      </c>
      <c r="N1159" s="31" t="s">
        <v>1309</v>
      </c>
      <c r="O1159" s="32"/>
      <c r="P1159" s="33" t="str">
        <f t="array" ref="P1159">IFERROR(
HYPERLINK(
"https://drive.google.com/file/d/"&amp;
XLOOKUP(O1159,'Hoa-Don'!A:A,'Hoa-Don'!D:D)
&amp;"/view",
"🔎"
),
""
)</f>
        <v/>
      </c>
    </row>
    <row r="1160" ht="22.5" customHeight="1">
      <c r="A1160" s="21">
        <v>1159.0</v>
      </c>
      <c r="B1160" s="22">
        <v>45834.0</v>
      </c>
      <c r="C1160" s="23">
        <v>25.0</v>
      </c>
      <c r="D1160" s="24" t="s">
        <v>1232</v>
      </c>
      <c r="E1160" s="35" t="s">
        <v>18</v>
      </c>
      <c r="F1160" s="24" t="s">
        <v>1291</v>
      </c>
      <c r="G1160" s="36" t="s">
        <v>42</v>
      </c>
      <c r="H1160" s="28">
        <v>301.0</v>
      </c>
      <c r="I1160" s="28">
        <v>15858.214371413906</v>
      </c>
      <c r="J1160" s="29">
        <v>4773322.5257955855</v>
      </c>
      <c r="K1160" s="29">
        <v>15858.214371413906</v>
      </c>
      <c r="L1160" s="30">
        <v>382.6600000000376</v>
      </c>
      <c r="M1160" s="29">
        <v>6068304.311365841</v>
      </c>
      <c r="N1160" s="31" t="s">
        <v>1310</v>
      </c>
      <c r="O1160" s="32"/>
      <c r="P1160" s="33" t="str">
        <f t="array" ref="P1160">IFERROR(
HYPERLINK(
"https://drive.google.com/file/d/"&amp;
XLOOKUP(O1160,'Hoa-Don'!A:A,'Hoa-Don'!D:D)
&amp;"/view",
"🔎"
),
""
)</f>
        <v/>
      </c>
    </row>
    <row r="1161" ht="22.5" customHeight="1">
      <c r="A1161" s="21">
        <v>1160.0</v>
      </c>
      <c r="B1161" s="22">
        <v>45834.0</v>
      </c>
      <c r="C1161" s="23">
        <v>25.0</v>
      </c>
      <c r="D1161" s="24" t="s">
        <v>1232</v>
      </c>
      <c r="E1161" s="25" t="s">
        <v>11</v>
      </c>
      <c r="F1161" s="24" t="s">
        <v>1300</v>
      </c>
      <c r="G1161" s="36" t="s">
        <v>42</v>
      </c>
      <c r="H1161" s="28">
        <v>729.0</v>
      </c>
      <c r="I1161" s="28">
        <v>15986.409433731802</v>
      </c>
      <c r="J1161" s="29">
        <v>1.1654092477190483E7</v>
      </c>
      <c r="K1161" s="29">
        <v>15986.409433731802</v>
      </c>
      <c r="L1161" s="30">
        <v>44354.01999999999</v>
      </c>
      <c r="M1161" s="29">
        <v>7.090615237519288E8</v>
      </c>
      <c r="N1161" s="31" t="s">
        <v>1311</v>
      </c>
      <c r="O1161" s="32"/>
      <c r="P1161" s="33" t="str">
        <f t="array" ref="P1161">IFERROR(
HYPERLINK(
"https://drive.google.com/file/d/"&amp;
XLOOKUP(O1161,'Hoa-Don'!A:A,'Hoa-Don'!D:D)
&amp;"/view",
"🔎"
),
""
)</f>
        <v/>
      </c>
    </row>
    <row r="1162" ht="22.5" customHeight="1">
      <c r="A1162" s="21">
        <v>1161.0</v>
      </c>
      <c r="B1162" s="22">
        <v>45836.0</v>
      </c>
      <c r="C1162" s="23">
        <v>26.0</v>
      </c>
      <c r="D1162" s="24" t="s">
        <v>1135</v>
      </c>
      <c r="E1162" s="35" t="s">
        <v>18</v>
      </c>
      <c r="F1162" s="24" t="s">
        <v>1291</v>
      </c>
      <c r="G1162" s="36" t="s">
        <v>42</v>
      </c>
      <c r="H1162" s="28">
        <v>360.0</v>
      </c>
      <c r="I1162" s="28">
        <v>15858.214371413906</v>
      </c>
      <c r="J1162" s="29">
        <v>5708957.173709006</v>
      </c>
      <c r="K1162" s="29">
        <v>15858.214371413906</v>
      </c>
      <c r="L1162" s="30">
        <v>22.6600000000376</v>
      </c>
      <c r="M1162" s="29">
        <v>359347.1376568354</v>
      </c>
      <c r="N1162" s="31" t="s">
        <v>1312</v>
      </c>
      <c r="O1162" s="32"/>
      <c r="P1162" s="33" t="str">
        <f t="array" ref="P1162">IFERROR(
HYPERLINK(
"https://drive.google.com/file/d/"&amp;
XLOOKUP(O1162,'Hoa-Don'!A:A,'Hoa-Don'!D:D)
&amp;"/view",
"🔎"
),
""
)</f>
        <v/>
      </c>
    </row>
    <row r="1163" ht="22.5" customHeight="1">
      <c r="A1163" s="21">
        <v>1162.0</v>
      </c>
      <c r="B1163" s="22">
        <v>45836.0</v>
      </c>
      <c r="C1163" s="23">
        <v>26.0</v>
      </c>
      <c r="D1163" s="24" t="s">
        <v>1135</v>
      </c>
      <c r="E1163" s="25" t="s">
        <v>11</v>
      </c>
      <c r="F1163" s="24" t="s">
        <v>1300</v>
      </c>
      <c r="G1163" s="36" t="s">
        <v>42</v>
      </c>
      <c r="H1163" s="28">
        <v>2668.87</v>
      </c>
      <c r="I1163" s="28">
        <v>15986.409433731802</v>
      </c>
      <c r="J1163" s="29">
        <v>4.266564854540379E7</v>
      </c>
      <c r="K1163" s="29">
        <v>15986.409433731802</v>
      </c>
      <c r="L1163" s="30">
        <v>41685.14999999999</v>
      </c>
      <c r="M1163" s="29">
        <v>6.66395875206525E8</v>
      </c>
      <c r="N1163" s="31" t="s">
        <v>1313</v>
      </c>
      <c r="O1163" s="32"/>
      <c r="P1163" s="33" t="str">
        <f t="array" ref="P1163">IFERROR(
HYPERLINK(
"https://drive.google.com/file/d/"&amp;
XLOOKUP(O1163,'Hoa-Don'!A:A,'Hoa-Don'!D:D)
&amp;"/view",
"🔎"
),
""
)</f>
        <v/>
      </c>
    </row>
    <row r="1164" ht="22.5" customHeight="1">
      <c r="A1164" s="21">
        <v>1163.0</v>
      </c>
      <c r="B1164" s="22">
        <v>45848.0</v>
      </c>
      <c r="C1164" s="23">
        <v>210.0</v>
      </c>
      <c r="D1164" s="24" t="s">
        <v>725</v>
      </c>
      <c r="E1164" s="35" t="s">
        <v>18</v>
      </c>
      <c r="F1164" s="24" t="s">
        <v>1291</v>
      </c>
      <c r="G1164" s="27" t="s">
        <v>38</v>
      </c>
      <c r="H1164" s="28">
        <v>8478.0</v>
      </c>
      <c r="I1164" s="28">
        <v>12545.45</v>
      </c>
      <c r="J1164" s="29">
        <v>1.0636032510000001E8</v>
      </c>
      <c r="K1164" s="29">
        <v>12554.280754395113</v>
      </c>
      <c r="L1164" s="30">
        <v>8500.660000000038</v>
      </c>
      <c r="M1164" s="29">
        <v>1.0671967223765685E8</v>
      </c>
      <c r="N1164" s="31" t="s">
        <v>1314</v>
      </c>
      <c r="O1164" s="32"/>
      <c r="P1164" s="33" t="str">
        <f t="array" ref="P1164">IFERROR(
HYPERLINK(
"https://drive.google.com/file/d/"&amp;
XLOOKUP(O1164,'Hoa-Don'!A:A,'Hoa-Don'!D:D)
&amp;"/view",
"🔎"
),
""
)</f>
        <v/>
      </c>
    </row>
    <row r="1165" ht="22.5" customHeight="1">
      <c r="A1165" s="21">
        <v>1164.0</v>
      </c>
      <c r="B1165" s="22">
        <v>45852.0</v>
      </c>
      <c r="C1165" s="23">
        <v>27.0</v>
      </c>
      <c r="D1165" s="24" t="s">
        <v>1232</v>
      </c>
      <c r="E1165" s="35" t="s">
        <v>18</v>
      </c>
      <c r="F1165" s="24" t="s">
        <v>1291</v>
      </c>
      <c r="G1165" s="36" t="s">
        <v>42</v>
      </c>
      <c r="H1165" s="28">
        <v>420.0</v>
      </c>
      <c r="I1165" s="28">
        <v>12554.280754395113</v>
      </c>
      <c r="J1165" s="29">
        <v>5272797.9168459475</v>
      </c>
      <c r="K1165" s="29">
        <v>12554.280754395113</v>
      </c>
      <c r="L1165" s="30">
        <v>8080.660000000038</v>
      </c>
      <c r="M1165" s="29">
        <v>1.014468743208109E8</v>
      </c>
      <c r="N1165" s="31" t="s">
        <v>1315</v>
      </c>
      <c r="O1165" s="32"/>
      <c r="P1165" s="33" t="str">
        <f t="array" ref="P1165">IFERROR(
HYPERLINK(
"https://drive.google.com/file/d/"&amp;
XLOOKUP(O1165,'Hoa-Don'!A:A,'Hoa-Don'!D:D)
&amp;"/view",
"🔎"
),
""
)</f>
        <v/>
      </c>
    </row>
    <row r="1166" ht="22.5" customHeight="1">
      <c r="A1166" s="21">
        <v>1165.0</v>
      </c>
      <c r="B1166" s="22">
        <v>45852.0</v>
      </c>
      <c r="C1166" s="23">
        <v>27.0</v>
      </c>
      <c r="D1166" s="24" t="s">
        <v>1232</v>
      </c>
      <c r="E1166" s="25" t="s">
        <v>11</v>
      </c>
      <c r="F1166" s="24" t="s">
        <v>1300</v>
      </c>
      <c r="G1166" s="36" t="s">
        <v>42</v>
      </c>
      <c r="H1166" s="28">
        <v>650.0</v>
      </c>
      <c r="I1166" s="28">
        <v>15986.409433731802</v>
      </c>
      <c r="J1166" s="29">
        <v>1.039116613192567E7</v>
      </c>
      <c r="K1166" s="29">
        <v>15986.409433731802</v>
      </c>
      <c r="L1166" s="30">
        <v>41035.14999999999</v>
      </c>
      <c r="M1166" s="29">
        <v>6.560047090745994E8</v>
      </c>
      <c r="N1166" s="31" t="s">
        <v>1316</v>
      </c>
      <c r="O1166" s="32"/>
      <c r="P1166" s="33" t="str">
        <f t="array" ref="P1166">IFERROR(
HYPERLINK(
"https://drive.google.com/file/d/"&amp;
XLOOKUP(O1166,'Hoa-Don'!A:A,'Hoa-Don'!D:D)
&amp;"/view",
"🔎"
),
""
)</f>
        <v/>
      </c>
    </row>
    <row r="1167" ht="22.5" customHeight="1">
      <c r="A1167" s="21">
        <v>1166.0</v>
      </c>
      <c r="B1167" s="22">
        <v>45853.0</v>
      </c>
      <c r="C1167" s="23">
        <v>2554.0</v>
      </c>
      <c r="D1167" s="24" t="s">
        <v>1317</v>
      </c>
      <c r="E1167" s="40" t="s">
        <v>13</v>
      </c>
      <c r="F1167" s="24" t="s">
        <v>1318</v>
      </c>
      <c r="G1167" s="27" t="s">
        <v>38</v>
      </c>
      <c r="H1167" s="28">
        <v>1592.5</v>
      </c>
      <c r="I1167" s="28">
        <v>15090.91</v>
      </c>
      <c r="J1167" s="29">
        <v>2.4032274175E7</v>
      </c>
      <c r="K1167" s="29">
        <v>15090.91</v>
      </c>
      <c r="L1167" s="30">
        <v>1592.5</v>
      </c>
      <c r="M1167" s="29">
        <v>2.4032274175E7</v>
      </c>
      <c r="N1167" s="31" t="s">
        <v>1319</v>
      </c>
      <c r="O1167" s="32"/>
      <c r="P1167" s="33" t="str">
        <f t="array" ref="P1167">IFERROR(
HYPERLINK(
"https://drive.google.com/file/d/"&amp;
XLOOKUP(O1167,'Hoa-Don'!A:A,'Hoa-Don'!D:D)
&amp;"/view",
"🔎"
),
""
)</f>
        <v/>
      </c>
    </row>
    <row r="1168" ht="22.5" customHeight="1">
      <c r="A1168" s="21">
        <v>1167.0</v>
      </c>
      <c r="B1168" s="22">
        <v>45859.0</v>
      </c>
      <c r="C1168" s="23">
        <v>2620.0</v>
      </c>
      <c r="D1168" s="24" t="s">
        <v>1317</v>
      </c>
      <c r="E1168" s="40" t="s">
        <v>13</v>
      </c>
      <c r="F1168" s="24" t="s">
        <v>1320</v>
      </c>
      <c r="G1168" s="27" t="s">
        <v>38</v>
      </c>
      <c r="H1168" s="28">
        <v>1143.0</v>
      </c>
      <c r="I1168" s="28">
        <v>15728.0</v>
      </c>
      <c r="J1168" s="29">
        <v>1.7977104E7</v>
      </c>
      <c r="K1168" s="29">
        <v>15357.111378175836</v>
      </c>
      <c r="L1168" s="30">
        <v>2735.5</v>
      </c>
      <c r="M1168" s="29">
        <v>4.2009378175E7</v>
      </c>
      <c r="N1168" s="31" t="s">
        <v>1321</v>
      </c>
      <c r="O1168" s="32"/>
      <c r="P1168" s="33" t="str">
        <f t="array" ref="P1168">IFERROR(
HYPERLINK(
"https://drive.google.com/file/d/"&amp;
XLOOKUP(O1168,'Hoa-Don'!A:A,'Hoa-Don'!D:D)
&amp;"/view",
"🔎"
),
""
)</f>
        <v/>
      </c>
    </row>
    <row r="1169" ht="22.5" customHeight="1">
      <c r="A1169" s="21">
        <v>1168.0</v>
      </c>
      <c r="B1169" s="22">
        <v>45859.0</v>
      </c>
      <c r="C1169" s="23">
        <v>2620.0</v>
      </c>
      <c r="D1169" s="24" t="s">
        <v>1317</v>
      </c>
      <c r="E1169" s="40" t="s">
        <v>13</v>
      </c>
      <c r="F1169" s="24" t="s">
        <v>1322</v>
      </c>
      <c r="G1169" s="27" t="s">
        <v>38</v>
      </c>
      <c r="H1169" s="28">
        <v>76.9</v>
      </c>
      <c r="I1169" s="28">
        <v>15909.1</v>
      </c>
      <c r="J1169" s="29">
        <v>1223409.79</v>
      </c>
      <c r="K1169" s="29">
        <v>15372.20451038259</v>
      </c>
      <c r="L1169" s="30">
        <v>2812.4</v>
      </c>
      <c r="M1169" s="29">
        <v>4.3232787964999996E7</v>
      </c>
      <c r="N1169" s="31" t="s">
        <v>1323</v>
      </c>
      <c r="O1169" s="32"/>
      <c r="P1169" s="33" t="str">
        <f t="array" ref="P1169">IFERROR(
HYPERLINK(
"https://drive.google.com/file/d/"&amp;
XLOOKUP(O1169,'Hoa-Don'!A:A,'Hoa-Don'!D:D)
&amp;"/view",
"🔎"
),
""
)</f>
        <v/>
      </c>
    </row>
    <row r="1170" ht="22.5" customHeight="1">
      <c r="A1170" s="21">
        <v>1169.0</v>
      </c>
      <c r="B1170" s="22">
        <v>45859.0</v>
      </c>
      <c r="C1170" s="23">
        <v>28.0</v>
      </c>
      <c r="D1170" s="24" t="s">
        <v>1324</v>
      </c>
      <c r="E1170" s="40" t="s">
        <v>13</v>
      </c>
      <c r="F1170" s="24" t="s">
        <v>1320</v>
      </c>
      <c r="G1170" s="36" t="s">
        <v>42</v>
      </c>
      <c r="H1170" s="28">
        <v>822.96</v>
      </c>
      <c r="I1170" s="28">
        <v>15372.20451038259</v>
      </c>
      <c r="J1170" s="29">
        <v>1.2650709423864456E7</v>
      </c>
      <c r="K1170" s="29">
        <v>15372.20451038259</v>
      </c>
      <c r="L1170" s="30">
        <v>1989.44</v>
      </c>
      <c r="M1170" s="29">
        <v>3.058207854113554E7</v>
      </c>
      <c r="N1170" s="31" t="s">
        <v>1325</v>
      </c>
      <c r="O1170" s="32"/>
      <c r="P1170" s="33" t="str">
        <f t="array" ref="P1170">IFERROR(
HYPERLINK(
"https://drive.google.com/file/d/"&amp;
XLOOKUP(O1170,'Hoa-Don'!A:A,'Hoa-Don'!D:D)
&amp;"/view",
"🔎"
),
""
)</f>
        <v/>
      </c>
    </row>
    <row r="1171" ht="22.5" customHeight="1">
      <c r="A1171" s="21">
        <v>1170.0</v>
      </c>
      <c r="B1171" s="22">
        <v>45859.0</v>
      </c>
      <c r="C1171" s="23">
        <v>28.0</v>
      </c>
      <c r="D1171" s="24" t="s">
        <v>1324</v>
      </c>
      <c r="E1171" s="40" t="s">
        <v>13</v>
      </c>
      <c r="F1171" s="24" t="s">
        <v>1322</v>
      </c>
      <c r="G1171" s="36" t="s">
        <v>42</v>
      </c>
      <c r="H1171" s="28">
        <v>76.9</v>
      </c>
      <c r="I1171" s="28">
        <v>15372.20451038259</v>
      </c>
      <c r="J1171" s="29">
        <v>1182122.5268484212</v>
      </c>
      <c r="K1171" s="29">
        <v>15372.20451038259</v>
      </c>
      <c r="L1171" s="30">
        <v>1912.54</v>
      </c>
      <c r="M1171" s="29">
        <v>2.9399956014287118E7</v>
      </c>
      <c r="N1171" s="31" t="s">
        <v>1326</v>
      </c>
      <c r="O1171" s="32"/>
      <c r="P1171" s="33" t="str">
        <f t="array" ref="P1171">IFERROR(
HYPERLINK(
"https://drive.google.com/file/d/"&amp;
XLOOKUP(O1171,'Hoa-Don'!A:A,'Hoa-Don'!D:D)
&amp;"/view",
"🔎"
),
""
)</f>
        <v/>
      </c>
    </row>
    <row r="1172" ht="22.5" customHeight="1">
      <c r="A1172" s="21">
        <v>1171.0</v>
      </c>
      <c r="B1172" s="22">
        <v>45866.0</v>
      </c>
      <c r="C1172" s="23">
        <v>29.0</v>
      </c>
      <c r="D1172" s="24" t="s">
        <v>1240</v>
      </c>
      <c r="E1172" s="35" t="s">
        <v>18</v>
      </c>
      <c r="F1172" s="24" t="s">
        <v>1291</v>
      </c>
      <c r="G1172" s="36" t="s">
        <v>42</v>
      </c>
      <c r="H1172" s="28">
        <v>826.44</v>
      </c>
      <c r="I1172" s="28">
        <v>12554.280754395113</v>
      </c>
      <c r="J1172" s="29">
        <v>1.0375359786662297E7</v>
      </c>
      <c r="K1172" s="29">
        <v>12554.280754395113</v>
      </c>
      <c r="L1172" s="30">
        <v>7254.2200000000375</v>
      </c>
      <c r="M1172" s="29">
        <v>9.107151453414859E7</v>
      </c>
      <c r="N1172" s="31" t="s">
        <v>1327</v>
      </c>
      <c r="O1172" s="32"/>
      <c r="P1172" s="33" t="str">
        <f t="array" ref="P1172">IFERROR(
HYPERLINK(
"https://drive.google.com/file/d/"&amp;
XLOOKUP(O1172,'Hoa-Don'!A:A,'Hoa-Don'!D:D)
&amp;"/view",
"🔎"
),
""
)</f>
        <v/>
      </c>
    </row>
    <row r="1173" ht="22.5" customHeight="1">
      <c r="A1173" s="21">
        <v>1172.0</v>
      </c>
      <c r="B1173" s="22">
        <v>45866.0</v>
      </c>
      <c r="C1173" s="23">
        <v>29.0</v>
      </c>
      <c r="D1173" s="24" t="s">
        <v>1240</v>
      </c>
      <c r="E1173" s="40" t="s">
        <v>13</v>
      </c>
      <c r="F1173" s="24" t="s">
        <v>1320</v>
      </c>
      <c r="G1173" s="36" t="s">
        <v>42</v>
      </c>
      <c r="H1173" s="28">
        <v>34.29</v>
      </c>
      <c r="I1173" s="28">
        <v>15372.20451038259</v>
      </c>
      <c r="J1173" s="29">
        <v>527112.892661019</v>
      </c>
      <c r="K1173" s="29">
        <v>15372.20451038259</v>
      </c>
      <c r="L1173" s="30">
        <v>1878.25</v>
      </c>
      <c r="M1173" s="29">
        <v>2.8872843121626098E7</v>
      </c>
      <c r="N1173" s="31" t="s">
        <v>1328</v>
      </c>
      <c r="O1173" s="32"/>
      <c r="P1173" s="33" t="str">
        <f t="array" ref="P1173">IFERROR(
HYPERLINK(
"https://drive.google.com/file/d/"&amp;
XLOOKUP(O1173,'Hoa-Don'!A:A,'Hoa-Don'!D:D)
&amp;"/view",
"🔎"
),
""
)</f>
        <v/>
      </c>
    </row>
    <row r="1174" ht="22.5" customHeight="1">
      <c r="A1174" s="21">
        <v>1173.0</v>
      </c>
      <c r="B1174" s="22">
        <v>45875.0</v>
      </c>
      <c r="C1174" s="23">
        <v>30.0</v>
      </c>
      <c r="D1174" s="24" t="s">
        <v>1329</v>
      </c>
      <c r="E1174" s="25" t="s">
        <v>11</v>
      </c>
      <c r="F1174" s="24" t="s">
        <v>1330</v>
      </c>
      <c r="G1174" s="36" t="s">
        <v>42</v>
      </c>
      <c r="H1174" s="28">
        <v>10460.0</v>
      </c>
      <c r="I1174" s="28">
        <v>15986.409433731802</v>
      </c>
      <c r="J1174" s="29">
        <v>1.6721784267683464E8</v>
      </c>
      <c r="K1174" s="29">
        <v>15986.409433731802</v>
      </c>
      <c r="L1174" s="30">
        <v>30575.149999999987</v>
      </c>
      <c r="M1174" s="29">
        <v>4.887868663977647E8</v>
      </c>
      <c r="N1174" s="31" t="s">
        <v>1331</v>
      </c>
      <c r="O1174" s="32"/>
      <c r="P1174" s="33" t="str">
        <f t="array" ref="P1174">IFERROR(
HYPERLINK(
"https://drive.google.com/file/d/"&amp;
XLOOKUP(O1174,'Hoa-Don'!A:A,'Hoa-Don'!D:D)
&amp;"/view",
"🔎"
),
""
)</f>
        <v/>
      </c>
    </row>
    <row r="1175" ht="22.5" customHeight="1">
      <c r="A1175" s="21">
        <v>1174.0</v>
      </c>
      <c r="B1175" s="22">
        <v>45875.0</v>
      </c>
      <c r="C1175" s="23">
        <v>31.0</v>
      </c>
      <c r="D1175" s="24" t="s">
        <v>1238</v>
      </c>
      <c r="E1175" s="35" t="s">
        <v>18</v>
      </c>
      <c r="F1175" s="24" t="s">
        <v>1332</v>
      </c>
      <c r="G1175" s="36" t="s">
        <v>42</v>
      </c>
      <c r="H1175" s="28">
        <v>722.0</v>
      </c>
      <c r="I1175" s="28">
        <v>12554.280754395113</v>
      </c>
      <c r="J1175" s="29">
        <v>9064190.704673272</v>
      </c>
      <c r="K1175" s="29">
        <v>12554.280754395113</v>
      </c>
      <c r="L1175" s="30">
        <v>6532.2200000000375</v>
      </c>
      <c r="M1175" s="29">
        <v>8.200732382947531E7</v>
      </c>
      <c r="N1175" s="31" t="s">
        <v>1333</v>
      </c>
      <c r="O1175" s="32"/>
      <c r="P1175" s="33" t="str">
        <f t="array" ref="P1175">IFERROR(
HYPERLINK(
"https://drive.google.com/file/d/"&amp;
XLOOKUP(O1175,'Hoa-Don'!A:A,'Hoa-Don'!D:D)
&amp;"/view",
"🔎"
),
""
)</f>
        <v/>
      </c>
    </row>
    <row r="1176" ht="22.5" customHeight="1">
      <c r="A1176" s="21">
        <v>1175.0</v>
      </c>
      <c r="B1176" s="22">
        <v>45879.0</v>
      </c>
      <c r="C1176" s="23">
        <v>32.0</v>
      </c>
      <c r="D1176" s="24" t="s">
        <v>1232</v>
      </c>
      <c r="E1176" s="25" t="s">
        <v>11</v>
      </c>
      <c r="F1176" s="24" t="s">
        <v>1300</v>
      </c>
      <c r="G1176" s="36" t="s">
        <v>42</v>
      </c>
      <c r="H1176" s="28">
        <v>805.0</v>
      </c>
      <c r="I1176" s="28">
        <v>15986.409433731802</v>
      </c>
      <c r="J1176" s="29">
        <v>1.28690595941541E7</v>
      </c>
      <c r="K1176" s="29">
        <v>15986.409433731802</v>
      </c>
      <c r="L1176" s="30">
        <v>29770.149999999987</v>
      </c>
      <c r="M1176" s="29">
        <v>4.759178068036106E8</v>
      </c>
      <c r="N1176" s="31" t="s">
        <v>1334</v>
      </c>
      <c r="O1176" s="32"/>
      <c r="P1176" s="33" t="str">
        <f t="array" ref="P1176">IFERROR(
HYPERLINK(
"https://drive.google.com/file/d/"&amp;
XLOOKUP(O1176,'Hoa-Don'!A:A,'Hoa-Don'!D:D)
&amp;"/view",
"🔎"
),
""
)</f>
        <v/>
      </c>
    </row>
    <row r="1177" ht="22.5" customHeight="1">
      <c r="A1177" s="21">
        <v>1176.0</v>
      </c>
      <c r="B1177" s="22">
        <v>45879.0</v>
      </c>
      <c r="C1177" s="23">
        <v>32.0</v>
      </c>
      <c r="D1177" s="24" t="s">
        <v>1232</v>
      </c>
      <c r="E1177" s="35" t="s">
        <v>18</v>
      </c>
      <c r="F1177" s="24" t="s">
        <v>1291</v>
      </c>
      <c r="G1177" s="36" t="s">
        <v>42</v>
      </c>
      <c r="H1177" s="28">
        <v>988.0</v>
      </c>
      <c r="I1177" s="28">
        <v>12554.280754395113</v>
      </c>
      <c r="J1177" s="29">
        <v>1.2403629385342373E7</v>
      </c>
      <c r="K1177" s="29">
        <v>12554.280754395113</v>
      </c>
      <c r="L1177" s="30">
        <v>5544.2200000000375</v>
      </c>
      <c r="M1177" s="29">
        <v>6.960369444413294E7</v>
      </c>
      <c r="N1177" s="31" t="s">
        <v>1335</v>
      </c>
      <c r="O1177" s="32"/>
      <c r="P1177" s="33" t="str">
        <f t="array" ref="P1177">IFERROR(
HYPERLINK(
"https://drive.google.com/file/d/"&amp;
XLOOKUP(O1177,'Hoa-Don'!A:A,'Hoa-Don'!D:D)
&amp;"/view",
"🔎"
),
""
)</f>
        <v/>
      </c>
    </row>
    <row r="1178" ht="22.5" customHeight="1">
      <c r="A1178" s="21">
        <v>1177.0</v>
      </c>
      <c r="B1178" s="22">
        <v>45881.0</v>
      </c>
      <c r="C1178" s="23">
        <v>264.0</v>
      </c>
      <c r="D1178" s="24" t="s">
        <v>725</v>
      </c>
      <c r="E1178" s="35" t="s">
        <v>18</v>
      </c>
      <c r="F1178" s="24" t="s">
        <v>1291</v>
      </c>
      <c r="G1178" s="27" t="s">
        <v>38</v>
      </c>
      <c r="H1178" s="28">
        <v>7412.0</v>
      </c>
      <c r="I1178" s="28">
        <v>12727.27</v>
      </c>
      <c r="J1178" s="29">
        <v>9.433452524000001E7</v>
      </c>
      <c r="K1178" s="29">
        <v>12653.244517624158</v>
      </c>
      <c r="L1178" s="30">
        <v>12956.220000000038</v>
      </c>
      <c r="M1178" s="29">
        <v>1.6393821968413293E8</v>
      </c>
      <c r="N1178" s="31" t="s">
        <v>1336</v>
      </c>
      <c r="O1178" s="32"/>
      <c r="P1178" s="33" t="str">
        <f t="array" ref="P1178">IFERROR(
HYPERLINK(
"https://drive.google.com/file/d/"&amp;
XLOOKUP(O1178,'Hoa-Don'!A:A,'Hoa-Don'!D:D)
&amp;"/view",
"🔎"
),
""
)</f>
        <v/>
      </c>
    </row>
    <row r="1179" ht="22.5" customHeight="1">
      <c r="A1179" s="21">
        <v>1178.0</v>
      </c>
      <c r="B1179" s="22">
        <v>45881.0</v>
      </c>
      <c r="C1179" s="23">
        <v>2919.0</v>
      </c>
      <c r="D1179" s="24" t="s">
        <v>69</v>
      </c>
      <c r="E1179" s="37" t="s">
        <v>16</v>
      </c>
      <c r="F1179" s="24" t="s">
        <v>1337</v>
      </c>
      <c r="G1179" s="27" t="s">
        <v>38</v>
      </c>
      <c r="H1179" s="28">
        <v>1152.0</v>
      </c>
      <c r="I1179" s="28">
        <v>14545.45</v>
      </c>
      <c r="J1179" s="29">
        <v>1.67563584E7</v>
      </c>
      <c r="K1179" s="29">
        <v>14540.888430126728</v>
      </c>
      <c r="L1179" s="30">
        <v>1345.0</v>
      </c>
      <c r="M1179" s="29">
        <v>1.955749493852045E7</v>
      </c>
      <c r="N1179" s="31" t="s">
        <v>1338</v>
      </c>
      <c r="O1179" s="32"/>
      <c r="P1179" s="33" t="str">
        <f t="array" ref="P1179">IFERROR(
HYPERLINK(
"https://drive.google.com/file/d/"&amp;
XLOOKUP(O1179,'Hoa-Don'!A:A,'Hoa-Don'!D:D)
&amp;"/view",
"🔎"
),
""
)</f>
        <v/>
      </c>
    </row>
    <row r="1180" ht="22.5" customHeight="1">
      <c r="A1180" s="21">
        <v>1179.0</v>
      </c>
      <c r="B1180" s="22">
        <v>45883.0</v>
      </c>
      <c r="C1180" s="23">
        <v>2886.0</v>
      </c>
      <c r="D1180" s="24" t="s">
        <v>1317</v>
      </c>
      <c r="E1180" s="41" t="s">
        <v>6</v>
      </c>
      <c r="F1180" s="24" t="s">
        <v>1339</v>
      </c>
      <c r="G1180" s="27" t="s">
        <v>38</v>
      </c>
      <c r="H1180" s="28">
        <v>2638.02</v>
      </c>
      <c r="I1180" s="28">
        <v>24810.3</v>
      </c>
      <c r="J1180" s="29">
        <v>6.5450067606E7</v>
      </c>
      <c r="K1180" s="29">
        <v>24810.3</v>
      </c>
      <c r="L1180" s="30">
        <v>2638.02</v>
      </c>
      <c r="M1180" s="29">
        <v>6.5450067606E7</v>
      </c>
      <c r="N1180" s="31" t="s">
        <v>1340</v>
      </c>
      <c r="O1180" s="32"/>
      <c r="P1180" s="33" t="str">
        <f t="array" ref="P1180">IFERROR(
HYPERLINK(
"https://drive.google.com/file/d/"&amp;
XLOOKUP(O1180,'Hoa-Don'!A:A,'Hoa-Don'!D:D)
&amp;"/view",
"🔎"
),
""
)</f>
        <v/>
      </c>
    </row>
    <row r="1181" ht="22.5" customHeight="1">
      <c r="A1181" s="21">
        <v>1180.0</v>
      </c>
      <c r="B1181" s="22">
        <v>45883.0</v>
      </c>
      <c r="C1181" s="23">
        <v>2886.0</v>
      </c>
      <c r="D1181" s="24" t="s">
        <v>1317</v>
      </c>
      <c r="E1181" s="37" t="s">
        <v>16</v>
      </c>
      <c r="F1181" s="24" t="s">
        <v>1341</v>
      </c>
      <c r="G1181" s="27" t="s">
        <v>38</v>
      </c>
      <c r="H1181" s="28">
        <v>1529.58</v>
      </c>
      <c r="I1181" s="28">
        <v>19000.0</v>
      </c>
      <c r="J1181" s="29">
        <v>2.906202E7</v>
      </c>
      <c r="K1181" s="29">
        <v>16913.60648808537</v>
      </c>
      <c r="L1181" s="30">
        <v>2874.58</v>
      </c>
      <c r="M1181" s="29">
        <v>4.861951493852045E7</v>
      </c>
      <c r="N1181" s="31" t="s">
        <v>1342</v>
      </c>
      <c r="O1181" s="32"/>
      <c r="P1181" s="33" t="str">
        <f t="array" ref="P1181">IFERROR(
HYPERLINK(
"https://drive.google.com/file/d/"&amp;
XLOOKUP(O1181,'Hoa-Don'!A:A,'Hoa-Don'!D:D)
&amp;"/view",
"🔎"
),
""
)</f>
        <v/>
      </c>
    </row>
    <row r="1182" ht="22.5" customHeight="1">
      <c r="A1182" s="21">
        <v>1181.0</v>
      </c>
      <c r="B1182" s="22">
        <v>45883.0</v>
      </c>
      <c r="C1182" s="23">
        <v>33.0</v>
      </c>
      <c r="D1182" s="24" t="s">
        <v>1343</v>
      </c>
      <c r="E1182" s="37" t="s">
        <v>16</v>
      </c>
      <c r="F1182" s="24" t="s">
        <v>1341</v>
      </c>
      <c r="G1182" s="36" t="s">
        <v>42</v>
      </c>
      <c r="H1182" s="28">
        <v>1509.97</v>
      </c>
      <c r="I1182" s="28">
        <v>16913.60648808537</v>
      </c>
      <c r="J1182" s="29">
        <v>2.5539038388814267E7</v>
      </c>
      <c r="K1182" s="29">
        <v>16913.60648808537</v>
      </c>
      <c r="L1182" s="30">
        <v>1364.61</v>
      </c>
      <c r="M1182" s="29">
        <v>2.3080476549706176E7</v>
      </c>
      <c r="N1182" s="31" t="s">
        <v>1344</v>
      </c>
      <c r="O1182" s="32"/>
      <c r="P1182" s="33" t="str">
        <f t="array" ref="P1182">IFERROR(
HYPERLINK(
"https://drive.google.com/file/d/"&amp;
XLOOKUP(O1182,'Hoa-Don'!A:A,'Hoa-Don'!D:D)
&amp;"/view",
"🔎"
),
""
)</f>
        <v/>
      </c>
    </row>
    <row r="1183" ht="22.5" customHeight="1">
      <c r="A1183" s="21">
        <v>1182.0</v>
      </c>
      <c r="B1183" s="22">
        <v>45883.0</v>
      </c>
      <c r="C1183" s="23">
        <v>33.0</v>
      </c>
      <c r="D1183" s="24" t="s">
        <v>1343</v>
      </c>
      <c r="E1183" s="41" t="s">
        <v>6</v>
      </c>
      <c r="F1183" s="24" t="s">
        <v>1339</v>
      </c>
      <c r="G1183" s="36" t="s">
        <v>42</v>
      </c>
      <c r="H1183" s="28">
        <v>2638.02</v>
      </c>
      <c r="I1183" s="28">
        <v>24810.3</v>
      </c>
      <c r="J1183" s="29">
        <v>6.5450067606E7</v>
      </c>
      <c r="K1183" s="29">
        <v>0.0</v>
      </c>
      <c r="L1183" s="30">
        <v>0.0</v>
      </c>
      <c r="M1183" s="29">
        <v>0.0</v>
      </c>
      <c r="N1183" s="31" t="s">
        <v>1345</v>
      </c>
      <c r="O1183" s="32"/>
      <c r="P1183" s="33" t="str">
        <f t="array" ref="P1183">IFERROR(
HYPERLINK(
"https://drive.google.com/file/d/"&amp;
XLOOKUP(O1183,'Hoa-Don'!A:A,'Hoa-Don'!D:D)
&amp;"/view",
"🔎"
),
""
)</f>
        <v/>
      </c>
    </row>
    <row r="1184" ht="22.5" customHeight="1">
      <c r="A1184" s="21">
        <v>1183.0</v>
      </c>
      <c r="B1184" s="22">
        <v>45897.0</v>
      </c>
      <c r="C1184" s="23">
        <v>34.0</v>
      </c>
      <c r="D1184" s="24" t="s">
        <v>1240</v>
      </c>
      <c r="E1184" s="39" t="s">
        <v>9</v>
      </c>
      <c r="F1184" s="24" t="s">
        <v>10</v>
      </c>
      <c r="G1184" s="36" t="s">
        <v>42</v>
      </c>
      <c r="H1184" s="28">
        <v>55.5</v>
      </c>
      <c r="I1184" s="28">
        <v>12272.73</v>
      </c>
      <c r="J1184" s="29">
        <v>681136.515</v>
      </c>
      <c r="K1184" s="29">
        <v>0.0</v>
      </c>
      <c r="L1184" s="30">
        <v>0.0</v>
      </c>
      <c r="M1184" s="29">
        <v>0.0</v>
      </c>
      <c r="N1184" s="31" t="s">
        <v>1346</v>
      </c>
      <c r="O1184" s="32"/>
      <c r="P1184" s="33" t="str">
        <f t="array" ref="P1184">IFERROR(
HYPERLINK(
"https://drive.google.com/file/d/"&amp;
XLOOKUP(O1184,'Hoa-Don'!A:A,'Hoa-Don'!D:D)
&amp;"/view",
"🔎"
),
""
)</f>
        <v/>
      </c>
    </row>
    <row r="1185" ht="22.5" customHeight="1">
      <c r="A1185" s="21">
        <v>1184.0</v>
      </c>
      <c r="B1185" s="22">
        <v>45897.0</v>
      </c>
      <c r="C1185" s="23">
        <v>34.0</v>
      </c>
      <c r="D1185" s="24" t="s">
        <v>1240</v>
      </c>
      <c r="E1185" s="35" t="s">
        <v>18</v>
      </c>
      <c r="F1185" s="24" t="s">
        <v>19</v>
      </c>
      <c r="G1185" s="36" t="s">
        <v>42</v>
      </c>
      <c r="H1185" s="28">
        <v>175.37</v>
      </c>
      <c r="I1185" s="28">
        <v>12653.244517624158</v>
      </c>
      <c r="J1185" s="29">
        <v>2218999.491055749</v>
      </c>
      <c r="K1185" s="29">
        <v>12653.244517624158</v>
      </c>
      <c r="L1185" s="30">
        <v>12780.850000000037</v>
      </c>
      <c r="M1185" s="29">
        <v>1.6171922019307718E8</v>
      </c>
      <c r="N1185" s="31" t="s">
        <v>1347</v>
      </c>
      <c r="O1185" s="32"/>
      <c r="P1185" s="33" t="str">
        <f t="array" ref="P1185">IFERROR(
HYPERLINK(
"https://drive.google.com/file/d/"&amp;
XLOOKUP(O1185,'Hoa-Don'!A:A,'Hoa-Don'!D:D)
&amp;"/view",
"🔎"
),
""
)</f>
        <v/>
      </c>
    </row>
    <row r="1186" ht="22.5" customHeight="1">
      <c r="A1186" s="21">
        <v>1185.0</v>
      </c>
      <c r="B1186" s="22">
        <v>45908.0</v>
      </c>
      <c r="C1186" s="23">
        <v>35.0</v>
      </c>
      <c r="D1186" s="24" t="s">
        <v>460</v>
      </c>
      <c r="E1186" s="35" t="s">
        <v>18</v>
      </c>
      <c r="F1186" s="24" t="s">
        <v>1291</v>
      </c>
      <c r="G1186" s="36" t="s">
        <v>42</v>
      </c>
      <c r="H1186" s="28">
        <v>1723.09</v>
      </c>
      <c r="I1186" s="28">
        <v>12653.244517624158</v>
      </c>
      <c r="J1186" s="29">
        <v>2.180267909587301E7</v>
      </c>
      <c r="K1186" s="29">
        <v>12653.244517624158</v>
      </c>
      <c r="L1186" s="30">
        <v>11057.760000000037</v>
      </c>
      <c r="M1186" s="29">
        <v>1.3991654109720418E8</v>
      </c>
      <c r="N1186" s="31" t="s">
        <v>1348</v>
      </c>
      <c r="O1186" s="32"/>
      <c r="P1186" s="33" t="str">
        <f t="array" ref="P1186">IFERROR(
HYPERLINK(
"https://drive.google.com/file/d/"&amp;
XLOOKUP(O1186,'Hoa-Don'!A:A,'Hoa-Don'!D:D)
&amp;"/view",
"🔎"
),
""
)</f>
        <v/>
      </c>
    </row>
    <row r="1187" ht="22.5" customHeight="1">
      <c r="A1187" s="21">
        <v>1186.0</v>
      </c>
      <c r="B1187" s="22">
        <v>45915.0</v>
      </c>
      <c r="C1187" s="23">
        <v>36.0</v>
      </c>
      <c r="D1187" s="24" t="s">
        <v>1349</v>
      </c>
      <c r="E1187" s="25" t="s">
        <v>11</v>
      </c>
      <c r="F1187" s="24" t="s">
        <v>1350</v>
      </c>
      <c r="G1187" s="36" t="s">
        <v>42</v>
      </c>
      <c r="H1187" s="28">
        <v>856.32</v>
      </c>
      <c r="I1187" s="28">
        <v>15986.409433731802</v>
      </c>
      <c r="J1187" s="29">
        <v>1.3689482126293218E7</v>
      </c>
      <c r="K1187" s="29">
        <v>15986.409433731802</v>
      </c>
      <c r="L1187" s="30">
        <v>28913.829999999987</v>
      </c>
      <c r="M1187" s="29">
        <v>4.622283246773174E8</v>
      </c>
      <c r="N1187" s="31" t="s">
        <v>1351</v>
      </c>
      <c r="O1187" s="32"/>
      <c r="P1187" s="33" t="str">
        <f t="array" ref="P1187">IFERROR(
HYPERLINK(
"https://drive.google.com/file/d/"&amp;
XLOOKUP(O1187,'Hoa-Don'!A:A,'Hoa-Don'!D:D)
&amp;"/view",
"🔎"
),
""
)</f>
        <v/>
      </c>
    </row>
    <row r="1188" ht="22.5" customHeight="1">
      <c r="A1188" s="21">
        <v>1187.0</v>
      </c>
      <c r="B1188" s="22">
        <v>45917.0</v>
      </c>
      <c r="C1188" s="23">
        <v>37.0</v>
      </c>
      <c r="D1188" s="24" t="s">
        <v>1240</v>
      </c>
      <c r="E1188" s="35" t="s">
        <v>18</v>
      </c>
      <c r="F1188" s="24" t="s">
        <v>1291</v>
      </c>
      <c r="G1188" s="36" t="s">
        <v>42</v>
      </c>
      <c r="H1188" s="28">
        <v>335.5</v>
      </c>
      <c r="I1188" s="28">
        <v>12653.244517624158</v>
      </c>
      <c r="J1188" s="29">
        <v>4245163.535662905</v>
      </c>
      <c r="K1188" s="29">
        <v>12653.244517624158</v>
      </c>
      <c r="L1188" s="30">
        <v>10722.260000000037</v>
      </c>
      <c r="M1188" s="29">
        <v>1.3567137756154126E8</v>
      </c>
      <c r="N1188" s="31" t="s">
        <v>1352</v>
      </c>
      <c r="O1188" s="32"/>
      <c r="P1188" s="33" t="str">
        <f t="array" ref="P1188">IFERROR(
HYPERLINK(
"https://drive.google.com/file/d/"&amp;
XLOOKUP(O1188,'Hoa-Don'!A:A,'Hoa-Don'!D:D)
&amp;"/view",
"🔎"
),
""
)</f>
        <v/>
      </c>
    </row>
    <row r="1189" ht="22.5" customHeight="1">
      <c r="A1189" s="21">
        <v>1188.0</v>
      </c>
      <c r="B1189" s="22">
        <v>45924.0</v>
      </c>
      <c r="C1189" s="23">
        <v>38.0</v>
      </c>
      <c r="D1189" s="24" t="s">
        <v>1353</v>
      </c>
      <c r="E1189" s="35" t="s">
        <v>18</v>
      </c>
      <c r="F1189" s="24" t="s">
        <v>1332</v>
      </c>
      <c r="G1189" s="36" t="s">
        <v>42</v>
      </c>
      <c r="H1189" s="28">
        <v>272.0</v>
      </c>
      <c r="I1189" s="28">
        <v>12653.244517624158</v>
      </c>
      <c r="J1189" s="29">
        <v>3441682.508793771</v>
      </c>
      <c r="K1189" s="29">
        <v>12653.244517624158</v>
      </c>
      <c r="L1189" s="30">
        <v>10450.260000000037</v>
      </c>
      <c r="M1189" s="29">
        <v>1.322296950527475E8</v>
      </c>
      <c r="N1189" s="31" t="s">
        <v>1354</v>
      </c>
      <c r="O1189" s="32"/>
      <c r="P1189" s="33" t="str">
        <f t="array" ref="P1189">IFERROR(
HYPERLINK(
"https://drive.google.com/file/d/"&amp;
XLOOKUP(O1189,'Hoa-Don'!A:A,'Hoa-Don'!D:D)
&amp;"/view",
"🔎"
),
""
)</f>
        <v/>
      </c>
    </row>
    <row r="1190" ht="22.5" customHeight="1">
      <c r="A1190" s="21">
        <v>1189.0</v>
      </c>
      <c r="B1190" s="22">
        <v>45925.0</v>
      </c>
      <c r="C1190" s="23">
        <v>39.0</v>
      </c>
      <c r="D1190" s="24" t="s">
        <v>1355</v>
      </c>
      <c r="E1190" s="35" t="s">
        <v>18</v>
      </c>
      <c r="F1190" s="24" t="s">
        <v>1291</v>
      </c>
      <c r="G1190" s="36" t="s">
        <v>42</v>
      </c>
      <c r="H1190" s="28">
        <v>1471.3</v>
      </c>
      <c r="I1190" s="28">
        <v>12653.244517624158</v>
      </c>
      <c r="J1190" s="29">
        <v>1.8616718658780422E7</v>
      </c>
      <c r="K1190" s="29">
        <v>12653.244517624158</v>
      </c>
      <c r="L1190" s="30">
        <v>8978.960000000037</v>
      </c>
      <c r="M1190" s="29">
        <v>1.1361297639396708E8</v>
      </c>
      <c r="N1190" s="31" t="s">
        <v>1356</v>
      </c>
      <c r="O1190" s="32"/>
      <c r="P1190" s="33" t="str">
        <f t="array" ref="P1190">IFERROR(
HYPERLINK(
"https://drive.google.com/file/d/"&amp;
XLOOKUP(O1190,'Hoa-Don'!A:A,'Hoa-Don'!D:D)
&amp;"/view",
"🔎"
),
""
)</f>
        <v/>
      </c>
    </row>
    <row r="1191" ht="22.5" customHeight="1">
      <c r="A1191" s="21">
        <v>1190.0</v>
      </c>
      <c r="B1191" s="22">
        <v>45932.0</v>
      </c>
      <c r="C1191" s="23">
        <v>40.0</v>
      </c>
      <c r="D1191" s="24" t="s">
        <v>1232</v>
      </c>
      <c r="E1191" s="35" t="s">
        <v>18</v>
      </c>
      <c r="F1191" s="24" t="s">
        <v>1291</v>
      </c>
      <c r="G1191" s="36" t="s">
        <v>42</v>
      </c>
      <c r="H1191" s="28">
        <v>3320.0</v>
      </c>
      <c r="I1191" s="28">
        <v>12653.244517624158</v>
      </c>
      <c r="J1191" s="29">
        <v>4.2008771798512205E7</v>
      </c>
      <c r="K1191" s="29">
        <v>12653.244517624158</v>
      </c>
      <c r="L1191" s="30">
        <v>5658.960000000037</v>
      </c>
      <c r="M1191" s="29">
        <v>7.160420459545487E7</v>
      </c>
      <c r="N1191" s="31" t="s">
        <v>1357</v>
      </c>
      <c r="O1191" s="32"/>
      <c r="P1191" s="33" t="str">
        <f t="array" ref="P1191">IFERROR(
HYPERLINK(
"https://drive.google.com/file/d/"&amp;
XLOOKUP(O1191,'Hoa-Don'!A:A,'Hoa-Don'!D:D)
&amp;"/view",
"🔎"
),
""
)</f>
        <v/>
      </c>
    </row>
    <row r="1192" ht="22.5" customHeight="1">
      <c r="A1192" s="21">
        <v>1191.0</v>
      </c>
      <c r="B1192" s="22">
        <v>45932.0</v>
      </c>
      <c r="C1192" s="23">
        <v>40.0</v>
      </c>
      <c r="D1192" s="24" t="s">
        <v>1232</v>
      </c>
      <c r="E1192" s="25" t="s">
        <v>11</v>
      </c>
      <c r="F1192" s="24" t="s">
        <v>1300</v>
      </c>
      <c r="G1192" s="36" t="s">
        <v>42</v>
      </c>
      <c r="H1192" s="28">
        <v>5400.0</v>
      </c>
      <c r="I1192" s="28">
        <v>15986.409433731802</v>
      </c>
      <c r="J1192" s="29">
        <v>8.632661094215173E7</v>
      </c>
      <c r="K1192" s="29">
        <v>15986.409433731802</v>
      </c>
      <c r="L1192" s="30">
        <v>23513.829999999987</v>
      </c>
      <c r="M1192" s="29">
        <v>3.7590171373516566E8</v>
      </c>
      <c r="N1192" s="31" t="s">
        <v>1358</v>
      </c>
      <c r="O1192" s="32"/>
      <c r="P1192" s="33" t="str">
        <f t="array" ref="P1192">IFERROR(
HYPERLINK(
"https://drive.google.com/file/d/"&amp;
XLOOKUP(O1192,'Hoa-Don'!A:A,'Hoa-Don'!D:D)
&amp;"/view",
"🔎"
),
""
)</f>
        <v/>
      </c>
    </row>
    <row r="1193" ht="22.5" customHeight="1">
      <c r="A1193" s="21">
        <v>1192.0</v>
      </c>
      <c r="B1193" s="22">
        <v>45934.0</v>
      </c>
      <c r="C1193" s="23">
        <v>41.0</v>
      </c>
      <c r="D1193" s="24" t="s">
        <v>1349</v>
      </c>
      <c r="E1193" s="25" t="s">
        <v>11</v>
      </c>
      <c r="F1193" s="24" t="s">
        <v>1359</v>
      </c>
      <c r="G1193" s="36" t="s">
        <v>42</v>
      </c>
      <c r="H1193" s="28">
        <v>1111.81</v>
      </c>
      <c r="I1193" s="28">
        <v>15986.409433731802</v>
      </c>
      <c r="J1193" s="29">
        <v>1.7773849872517355E7</v>
      </c>
      <c r="K1193" s="29">
        <v>15986.409433731802</v>
      </c>
      <c r="L1193" s="30">
        <v>22402.019999999986</v>
      </c>
      <c r="M1193" s="29">
        <v>3.5812786386264825E8</v>
      </c>
      <c r="N1193" s="31" t="s">
        <v>1360</v>
      </c>
      <c r="O1193" s="32"/>
      <c r="P1193" s="33" t="str">
        <f t="array" ref="P1193">IFERROR(
HYPERLINK(
"https://drive.google.com/file/d/"&amp;
XLOOKUP(O1193,'Hoa-Don'!A:A,'Hoa-Don'!D:D)
&amp;"/view",
"🔎"
),
""
)</f>
        <v/>
      </c>
    </row>
    <row r="1194" ht="22.5" customHeight="1">
      <c r="A1194" s="21">
        <v>1193.0</v>
      </c>
      <c r="B1194" s="22">
        <v>45934.0</v>
      </c>
      <c r="C1194" s="23">
        <v>42.0</v>
      </c>
      <c r="D1194" s="24" t="s">
        <v>1238</v>
      </c>
      <c r="E1194" s="35" t="s">
        <v>18</v>
      </c>
      <c r="F1194" s="24" t="s">
        <v>1291</v>
      </c>
      <c r="G1194" s="36" t="s">
        <v>42</v>
      </c>
      <c r="H1194" s="28">
        <v>1228.58</v>
      </c>
      <c r="I1194" s="28">
        <v>12653.244517624158</v>
      </c>
      <c r="J1194" s="29">
        <v>1.5545523149462687E7</v>
      </c>
      <c r="K1194" s="29">
        <v>12653.244517624158</v>
      </c>
      <c r="L1194" s="30">
        <v>4430.380000000037</v>
      </c>
      <c r="M1194" s="29">
        <v>5.6058681445992194E7</v>
      </c>
      <c r="N1194" s="31" t="s">
        <v>1361</v>
      </c>
      <c r="O1194" s="32"/>
      <c r="P1194" s="33" t="str">
        <f t="array" ref="P1194">IFERROR(
HYPERLINK(
"https://drive.google.com/file/d/"&amp;
XLOOKUP(O1194,'Hoa-Don'!A:A,'Hoa-Don'!D:D)
&amp;"/view",
"🔎"
),
""
)</f>
        <v/>
      </c>
    </row>
    <row r="1195" ht="22.5" customHeight="1">
      <c r="A1195" s="21">
        <v>1194.0</v>
      </c>
      <c r="B1195" s="22">
        <v>45948.0</v>
      </c>
      <c r="C1195" s="23">
        <v>43.0</v>
      </c>
      <c r="D1195" s="24" t="s">
        <v>1353</v>
      </c>
      <c r="E1195" s="35" t="s">
        <v>18</v>
      </c>
      <c r="F1195" s="24" t="s">
        <v>1291</v>
      </c>
      <c r="G1195" s="36" t="s">
        <v>42</v>
      </c>
      <c r="H1195" s="28">
        <v>284.5</v>
      </c>
      <c r="I1195" s="28">
        <v>12653.244517624158</v>
      </c>
      <c r="J1195" s="29">
        <v>3599848.065264073</v>
      </c>
      <c r="K1195" s="29">
        <v>12653.244517624158</v>
      </c>
      <c r="L1195" s="30">
        <v>4145.880000000037</v>
      </c>
      <c r="M1195" s="29">
        <v>5.245883338072812E7</v>
      </c>
      <c r="N1195" s="31" t="s">
        <v>1362</v>
      </c>
      <c r="O1195" s="32"/>
      <c r="P1195" s="33" t="str">
        <f t="array" ref="P1195">IFERROR(
HYPERLINK(
"https://drive.google.com/file/d/"&amp;
XLOOKUP(O1195,'Hoa-Don'!A:A,'Hoa-Don'!D:D)
&amp;"/view",
"🔎"
),
""
)</f>
        <v/>
      </c>
    </row>
    <row r="1196" ht="22.5" customHeight="1">
      <c r="A1196" s="21">
        <v>1195.0</v>
      </c>
      <c r="B1196" s="22">
        <v>45948.0</v>
      </c>
      <c r="C1196" s="23">
        <v>44.0</v>
      </c>
      <c r="D1196" s="24" t="s">
        <v>1363</v>
      </c>
      <c r="E1196" s="37" t="s">
        <v>16</v>
      </c>
      <c r="F1196" s="24" t="s">
        <v>1364</v>
      </c>
      <c r="G1196" s="36" t="s">
        <v>42</v>
      </c>
      <c r="H1196" s="28">
        <v>197.6</v>
      </c>
      <c r="I1196" s="28">
        <v>16913.60648808537</v>
      </c>
      <c r="J1196" s="29">
        <v>3342128.6420456693</v>
      </c>
      <c r="K1196" s="29">
        <v>16913.60648808537</v>
      </c>
      <c r="L1196" s="30">
        <v>1167.01</v>
      </c>
      <c r="M1196" s="29">
        <v>1.9738347907660507E7</v>
      </c>
      <c r="N1196" s="31" t="s">
        <v>1365</v>
      </c>
      <c r="O1196" s="32"/>
      <c r="P1196" s="33" t="str">
        <f t="array" ref="P1196">IFERROR(
HYPERLINK(
"https://drive.google.com/file/d/"&amp;
XLOOKUP(O1196,'Hoa-Don'!A:A,'Hoa-Don'!D:D)
&amp;"/view",
"🔎"
),
""
)</f>
        <v/>
      </c>
    </row>
    <row r="1197" ht="22.5" customHeight="1">
      <c r="A1197" s="21">
        <v>1196.0</v>
      </c>
      <c r="B1197" s="22">
        <v>45954.0</v>
      </c>
      <c r="C1197" s="23">
        <v>45.0</v>
      </c>
      <c r="D1197" s="24" t="s">
        <v>1240</v>
      </c>
      <c r="E1197" s="25" t="s">
        <v>11</v>
      </c>
      <c r="F1197" s="24" t="s">
        <v>1300</v>
      </c>
      <c r="G1197" s="36" t="s">
        <v>42</v>
      </c>
      <c r="H1197" s="28">
        <v>864.56</v>
      </c>
      <c r="I1197" s="28">
        <v>15986.409433731802</v>
      </c>
      <c r="J1197" s="29">
        <v>1.3821210140027165E7</v>
      </c>
      <c r="K1197" s="29">
        <v>15986.409433731802</v>
      </c>
      <c r="L1197" s="30">
        <v>21537.459999999985</v>
      </c>
      <c r="M1197" s="29">
        <v>3.443066537226211E8</v>
      </c>
      <c r="N1197" s="31" t="s">
        <v>1366</v>
      </c>
      <c r="O1197" s="32"/>
      <c r="P1197" s="33" t="str">
        <f t="array" ref="P1197">IFERROR(
HYPERLINK(
"https://drive.google.com/file/d/"&amp;
XLOOKUP(O1197,'Hoa-Don'!A:A,'Hoa-Don'!D:D)
&amp;"/view",
"🔎"
),
""
)</f>
        <v/>
      </c>
    </row>
    <row r="1198" ht="22.5" customHeight="1">
      <c r="A1198" s="21">
        <v>1197.0</v>
      </c>
      <c r="B1198" s="22">
        <v>45967.0</v>
      </c>
      <c r="C1198" s="23">
        <v>3632.0</v>
      </c>
      <c r="D1198" s="24" t="s">
        <v>1317</v>
      </c>
      <c r="E1198" s="41" t="s">
        <v>6</v>
      </c>
      <c r="F1198" s="24" t="s">
        <v>1367</v>
      </c>
      <c r="G1198" s="27" t="s">
        <v>38</v>
      </c>
      <c r="H1198" s="28">
        <v>2151.36</v>
      </c>
      <c r="I1198" s="28">
        <v>18909.09</v>
      </c>
      <c r="J1198" s="29">
        <v>4.06802598624E7</v>
      </c>
      <c r="K1198" s="29">
        <v>18909.09</v>
      </c>
      <c r="L1198" s="30">
        <v>2151.36</v>
      </c>
      <c r="M1198" s="29">
        <v>4.06802598624E7</v>
      </c>
      <c r="N1198" s="31" t="s">
        <v>1368</v>
      </c>
      <c r="O1198" s="32"/>
      <c r="P1198" s="33" t="str">
        <f t="array" ref="P1198">IFERROR(
HYPERLINK(
"https://drive.google.com/file/d/"&amp;
XLOOKUP(O1198,'Hoa-Don'!A:A,'Hoa-Don'!D:D)
&amp;"/view",
"🔎"
),
""
)</f>
        <v/>
      </c>
    </row>
    <row r="1199" ht="22.5" customHeight="1">
      <c r="A1199" s="21">
        <v>1198.0</v>
      </c>
      <c r="B1199" s="22">
        <v>45970.0</v>
      </c>
      <c r="C1199" s="23">
        <v>46.0</v>
      </c>
      <c r="D1199" s="24" t="s">
        <v>1349</v>
      </c>
      <c r="E1199" s="25" t="s">
        <v>11</v>
      </c>
      <c r="F1199" s="24" t="s">
        <v>1369</v>
      </c>
      <c r="G1199" s="36" t="s">
        <v>42</v>
      </c>
      <c r="H1199" s="28">
        <v>615.97</v>
      </c>
      <c r="I1199" s="28">
        <v>15986.409433731802</v>
      </c>
      <c r="J1199" s="29">
        <v>9847148.618895778</v>
      </c>
      <c r="K1199" s="29">
        <v>15986.409433731802</v>
      </c>
      <c r="L1199" s="30">
        <v>20921.489999999983</v>
      </c>
      <c r="M1199" s="29">
        <v>3.344595051037253E8</v>
      </c>
      <c r="N1199" s="31" t="s">
        <v>1370</v>
      </c>
      <c r="O1199" s="32"/>
      <c r="P1199" s="33" t="str">
        <f t="array" ref="P1199">IFERROR(
HYPERLINK(
"https://drive.google.com/file/d/"&amp;
XLOOKUP(O1199,'Hoa-Don'!A:A,'Hoa-Don'!D:D)
&amp;"/view",
"🔎"
),
""
)</f>
        <v/>
      </c>
    </row>
    <row r="1200" ht="22.5" customHeight="1">
      <c r="A1200" s="21">
        <v>1199.0</v>
      </c>
      <c r="B1200" s="22">
        <v>45971.0</v>
      </c>
      <c r="C1200" s="23">
        <v>3673.0</v>
      </c>
      <c r="D1200" s="24" t="s">
        <v>1317</v>
      </c>
      <c r="E1200" s="37" t="s">
        <v>16</v>
      </c>
      <c r="F1200" s="24" t="s">
        <v>1371</v>
      </c>
      <c r="G1200" s="27" t="s">
        <v>38</v>
      </c>
      <c r="H1200" s="28">
        <v>848.4</v>
      </c>
      <c r="I1200" s="28">
        <v>16820.0</v>
      </c>
      <c r="J1200" s="29">
        <v>1.4270088E7</v>
      </c>
      <c r="K1200" s="29">
        <v>16874.20222568138</v>
      </c>
      <c r="L1200" s="30">
        <v>2015.4099999999999</v>
      </c>
      <c r="M1200" s="29">
        <v>3.400843590766051E7</v>
      </c>
      <c r="N1200" s="31" t="s">
        <v>1372</v>
      </c>
      <c r="O1200" s="32"/>
      <c r="P1200" s="33" t="str">
        <f t="array" ref="P1200">IFERROR(
HYPERLINK(
"https://drive.google.com/file/d/"&amp;
XLOOKUP(O1200,'Hoa-Don'!A:A,'Hoa-Don'!D:D)
&amp;"/view",
"🔎"
),
""
)</f>
        <v/>
      </c>
    </row>
    <row r="1201" ht="22.5" customHeight="1">
      <c r="A1201" s="21">
        <v>1200.0</v>
      </c>
      <c r="B1201" s="22">
        <v>45971.0</v>
      </c>
      <c r="C1201" s="23">
        <v>3673.0</v>
      </c>
      <c r="D1201" s="24" t="s">
        <v>1317</v>
      </c>
      <c r="E1201" s="37" t="s">
        <v>16</v>
      </c>
      <c r="F1201" s="24" t="s">
        <v>1373</v>
      </c>
      <c r="G1201" s="27" t="s">
        <v>38</v>
      </c>
      <c r="H1201" s="28">
        <v>483.8</v>
      </c>
      <c r="I1201" s="28">
        <v>16820.0</v>
      </c>
      <c r="J1201" s="29">
        <v>8137516.0</v>
      </c>
      <c r="K1201" s="29">
        <v>16863.709695327925</v>
      </c>
      <c r="L1201" s="30">
        <v>2499.21</v>
      </c>
      <c r="M1201" s="29">
        <v>4.214595190766051E7</v>
      </c>
      <c r="N1201" s="31" t="s">
        <v>1374</v>
      </c>
      <c r="O1201" s="32"/>
      <c r="P1201" s="33" t="str">
        <f t="array" ref="P1201">IFERROR(
HYPERLINK(
"https://drive.google.com/file/d/"&amp;
XLOOKUP(O1201,'Hoa-Don'!A:A,'Hoa-Don'!D:D)
&amp;"/view",
"🔎"
),
""
)</f>
        <v/>
      </c>
    </row>
    <row r="1202" ht="22.5" customHeight="1">
      <c r="A1202" s="21">
        <v>1201.0</v>
      </c>
      <c r="B1202" s="22">
        <v>45971.0</v>
      </c>
      <c r="C1202" s="23">
        <v>47.0</v>
      </c>
      <c r="D1202" s="24" t="s">
        <v>864</v>
      </c>
      <c r="E1202" s="37" t="s">
        <v>16</v>
      </c>
      <c r="F1202" s="24" t="s">
        <v>1371</v>
      </c>
      <c r="G1202" s="36" t="s">
        <v>42</v>
      </c>
      <c r="H1202" s="28">
        <v>848.4</v>
      </c>
      <c r="I1202" s="28">
        <v>16863.709695327925</v>
      </c>
      <c r="J1202" s="29">
        <v>1.4307171305516211E7</v>
      </c>
      <c r="K1202" s="29">
        <v>16863.709695327925</v>
      </c>
      <c r="L1202" s="30">
        <v>1650.81</v>
      </c>
      <c r="M1202" s="29">
        <v>2.783878060214429E7</v>
      </c>
      <c r="N1202" s="31" t="s">
        <v>1375</v>
      </c>
      <c r="O1202" s="32"/>
      <c r="P1202" s="33" t="str">
        <f t="array" ref="P1202">IFERROR(
HYPERLINK(
"https://drive.google.com/file/d/"&amp;
XLOOKUP(O1202,'Hoa-Don'!A:A,'Hoa-Don'!D:D)
&amp;"/view",
"🔎"
),
""
)</f>
        <v/>
      </c>
    </row>
    <row r="1203" ht="22.5" customHeight="1">
      <c r="A1203" s="21">
        <v>1202.0</v>
      </c>
      <c r="B1203" s="22">
        <v>45971.0</v>
      </c>
      <c r="C1203" s="23">
        <v>47.0</v>
      </c>
      <c r="D1203" s="24" t="s">
        <v>864</v>
      </c>
      <c r="E1203" s="37" t="s">
        <v>16</v>
      </c>
      <c r="F1203" s="24" t="s">
        <v>1376</v>
      </c>
      <c r="G1203" s="36" t="s">
        <v>42</v>
      </c>
      <c r="H1203" s="28">
        <v>483.8</v>
      </c>
      <c r="I1203" s="28">
        <v>16863.709695327925</v>
      </c>
      <c r="J1203" s="29">
        <v>8158662.750599651</v>
      </c>
      <c r="K1203" s="29">
        <v>16863.709695327925</v>
      </c>
      <c r="L1203" s="30">
        <v>1167.01</v>
      </c>
      <c r="M1203" s="29">
        <v>1.968011785154464E7</v>
      </c>
      <c r="N1203" s="31" t="s">
        <v>1377</v>
      </c>
      <c r="O1203" s="32"/>
      <c r="P1203" s="33" t="str">
        <f t="array" ref="P1203">IFERROR(
HYPERLINK(
"https://drive.google.com/file/d/"&amp;
XLOOKUP(O1203,'Hoa-Don'!A:A,'Hoa-Don'!D:D)
&amp;"/view",
"🔎"
),
""
)</f>
        <v/>
      </c>
    </row>
    <row r="1204" ht="22.5" customHeight="1">
      <c r="A1204" s="21">
        <v>1203.0</v>
      </c>
      <c r="B1204" s="22">
        <v>45971.0</v>
      </c>
      <c r="C1204" s="23">
        <v>47.0</v>
      </c>
      <c r="D1204" s="24" t="s">
        <v>864</v>
      </c>
      <c r="E1204" s="25" t="s">
        <v>11</v>
      </c>
      <c r="F1204" s="24" t="s">
        <v>1259</v>
      </c>
      <c r="G1204" s="36" t="s">
        <v>42</v>
      </c>
      <c r="H1204" s="28">
        <v>475.7</v>
      </c>
      <c r="I1204" s="28">
        <v>15986.409433731802</v>
      </c>
      <c r="J1204" s="29">
        <v>7604734.967626218</v>
      </c>
      <c r="K1204" s="29">
        <v>15986.409433731802</v>
      </c>
      <c r="L1204" s="30">
        <v>20445.789999999983</v>
      </c>
      <c r="M1204" s="29">
        <v>3.2685477013609904E8</v>
      </c>
      <c r="N1204" s="31" t="s">
        <v>1378</v>
      </c>
      <c r="O1204" s="32"/>
      <c r="P1204" s="33" t="str">
        <f t="array" ref="P1204">IFERROR(
HYPERLINK(
"https://drive.google.com/file/d/"&amp;
XLOOKUP(O1204,'Hoa-Don'!A:A,'Hoa-Don'!D:D)
&amp;"/view",
"🔎"
),
""
)</f>
        <v/>
      </c>
    </row>
    <row r="1205" ht="22.5" customHeight="1">
      <c r="A1205" s="21">
        <v>1204.0</v>
      </c>
      <c r="B1205" s="22">
        <v>45972.0</v>
      </c>
      <c r="C1205" s="23">
        <v>168.0</v>
      </c>
      <c r="D1205" s="24" t="s">
        <v>1379</v>
      </c>
      <c r="E1205" s="42" t="s">
        <v>20</v>
      </c>
      <c r="F1205" s="24" t="s">
        <v>1380</v>
      </c>
      <c r="G1205" s="27" t="s">
        <v>38</v>
      </c>
      <c r="H1205" s="28">
        <v>2001.0</v>
      </c>
      <c r="I1205" s="28">
        <v>25000.0</v>
      </c>
      <c r="J1205" s="29">
        <v>5.0025E7</v>
      </c>
      <c r="K1205" s="29">
        <v>25000.0</v>
      </c>
      <c r="L1205" s="30">
        <v>2001.0</v>
      </c>
      <c r="M1205" s="29">
        <v>5.0025E7</v>
      </c>
      <c r="N1205" s="31" t="s">
        <v>1381</v>
      </c>
      <c r="O1205" s="32"/>
      <c r="P1205" s="33" t="str">
        <f t="array" ref="P1205">IFERROR(
HYPERLINK(
"https://drive.google.com/file/d/"&amp;
XLOOKUP(O1205,'Hoa-Don'!A:A,'Hoa-Don'!D:D)
&amp;"/view",
"🔎"
),
""
)</f>
        <v/>
      </c>
    </row>
    <row r="1206" ht="22.5" customHeight="1">
      <c r="A1206" s="21">
        <v>1205.0</v>
      </c>
      <c r="B1206" s="22">
        <v>45972.0</v>
      </c>
      <c r="C1206" s="23">
        <v>48.0</v>
      </c>
      <c r="D1206" s="24" t="s">
        <v>1232</v>
      </c>
      <c r="E1206" s="42" t="s">
        <v>20</v>
      </c>
      <c r="F1206" s="24" t="s">
        <v>1380</v>
      </c>
      <c r="G1206" s="36" t="s">
        <v>42</v>
      </c>
      <c r="H1206" s="28">
        <v>2001.0</v>
      </c>
      <c r="I1206" s="28">
        <v>25000.0</v>
      </c>
      <c r="J1206" s="29">
        <v>5.0025E7</v>
      </c>
      <c r="K1206" s="29">
        <v>0.0</v>
      </c>
      <c r="L1206" s="30">
        <v>0.0</v>
      </c>
      <c r="M1206" s="29">
        <v>0.0</v>
      </c>
      <c r="N1206" s="31" t="s">
        <v>1382</v>
      </c>
      <c r="O1206" s="32"/>
      <c r="P1206" s="33" t="str">
        <f t="array" ref="P1206">IFERROR(
HYPERLINK(
"https://drive.google.com/file/d/"&amp;
XLOOKUP(O1206,'Hoa-Don'!A:A,'Hoa-Don'!D:D)
&amp;"/view",
"🔎"
),
""
)</f>
        <v/>
      </c>
    </row>
    <row r="1207" ht="22.5" customHeight="1">
      <c r="A1207" s="21">
        <v>1206.0</v>
      </c>
      <c r="B1207" s="22">
        <v>45980.0</v>
      </c>
      <c r="C1207" s="23">
        <v>1591.0</v>
      </c>
      <c r="D1207" s="24" t="s">
        <v>253</v>
      </c>
      <c r="E1207" s="25" t="s">
        <v>11</v>
      </c>
      <c r="F1207" s="24" t="s">
        <v>1383</v>
      </c>
      <c r="G1207" s="27" t="s">
        <v>38</v>
      </c>
      <c r="H1207" s="28">
        <v>1894.0</v>
      </c>
      <c r="I1207" s="28">
        <v>14363.64</v>
      </c>
      <c r="J1207" s="29">
        <v>2.720473416E7</v>
      </c>
      <c r="K1207" s="29">
        <v>15848.828672789643</v>
      </c>
      <c r="L1207" s="30">
        <v>22339.789999999983</v>
      </c>
      <c r="M1207" s="29">
        <v>3.5405950429609907E8</v>
      </c>
      <c r="N1207" s="31" t="s">
        <v>1384</v>
      </c>
      <c r="O1207" s="32"/>
      <c r="P1207" s="33" t="str">
        <f t="array" ref="P1207">IFERROR(
HYPERLINK(
"https://drive.google.com/file/d/"&amp;
XLOOKUP(O1207,'Hoa-Don'!A:A,'Hoa-Don'!D:D)
&amp;"/view",
"🔎"
),
""
)</f>
        <v/>
      </c>
    </row>
    <row r="1208" ht="22.5" customHeight="1">
      <c r="A1208" s="21">
        <v>1207.0</v>
      </c>
      <c r="B1208" s="22">
        <v>45980.0</v>
      </c>
      <c r="C1208" s="23">
        <v>1591.0</v>
      </c>
      <c r="D1208" s="24" t="s">
        <v>253</v>
      </c>
      <c r="E1208" s="25" t="s">
        <v>11</v>
      </c>
      <c r="F1208" s="24" t="s">
        <v>1385</v>
      </c>
      <c r="G1208" s="27" t="s">
        <v>38</v>
      </c>
      <c r="H1208" s="28">
        <v>1740.0</v>
      </c>
      <c r="I1208" s="28">
        <v>16090.91</v>
      </c>
      <c r="J1208" s="29">
        <v>2.79981834E7</v>
      </c>
      <c r="K1208" s="29">
        <v>15866.321412940035</v>
      </c>
      <c r="L1208" s="30">
        <v>24079.789999999983</v>
      </c>
      <c r="M1208" s="29">
        <v>3.8205768769609904E8</v>
      </c>
      <c r="N1208" s="31" t="s">
        <v>1386</v>
      </c>
      <c r="O1208" s="32"/>
      <c r="P1208" s="33" t="str">
        <f t="array" ref="P1208">IFERROR(
HYPERLINK(
"https://drive.google.com/file/d/"&amp;
XLOOKUP(O1208,'Hoa-Don'!A:A,'Hoa-Don'!D:D)
&amp;"/view",
"🔎"
),
""
)</f>
        <v/>
      </c>
    </row>
    <row r="1209" ht="22.5" customHeight="1">
      <c r="A1209" s="21">
        <v>1208.0</v>
      </c>
      <c r="B1209" s="22">
        <v>45982.0</v>
      </c>
      <c r="C1209" s="23">
        <v>1614.0</v>
      </c>
      <c r="D1209" s="24" t="s">
        <v>253</v>
      </c>
      <c r="E1209" s="25" t="s">
        <v>11</v>
      </c>
      <c r="F1209" s="24" t="s">
        <v>1385</v>
      </c>
      <c r="G1209" s="27" t="s">
        <v>38</v>
      </c>
      <c r="H1209" s="28">
        <v>696.0</v>
      </c>
      <c r="I1209" s="28">
        <v>16090.91</v>
      </c>
      <c r="J1209" s="29">
        <v>1.119927336E7</v>
      </c>
      <c r="K1209" s="29">
        <v>15872.630541996818</v>
      </c>
      <c r="L1209" s="30">
        <v>24775.789999999983</v>
      </c>
      <c r="M1209" s="29">
        <v>3.9325696105609906E8</v>
      </c>
      <c r="N1209" s="31" t="s">
        <v>1387</v>
      </c>
      <c r="O1209" s="32"/>
      <c r="P1209" s="33" t="str">
        <f t="array" ref="P1209">IFERROR(
HYPERLINK(
"https://drive.google.com/file/d/"&amp;
XLOOKUP(O1209,'Hoa-Don'!A:A,'Hoa-Don'!D:D)
&amp;"/view",
"🔎"
),
""
)</f>
        <v/>
      </c>
    </row>
    <row r="1210" ht="22.5" customHeight="1">
      <c r="A1210" s="21">
        <v>1209.0</v>
      </c>
      <c r="B1210" s="22">
        <v>45982.0</v>
      </c>
      <c r="C1210" s="23">
        <v>1614.0</v>
      </c>
      <c r="D1210" s="24" t="s">
        <v>253</v>
      </c>
      <c r="E1210" s="25" t="s">
        <v>11</v>
      </c>
      <c r="F1210" s="24" t="s">
        <v>1388</v>
      </c>
      <c r="G1210" s="27" t="s">
        <v>38</v>
      </c>
      <c r="H1210" s="28">
        <v>456.0</v>
      </c>
      <c r="I1210" s="28">
        <v>15090.91</v>
      </c>
      <c r="J1210" s="29">
        <v>6881454.96</v>
      </c>
      <c r="K1210" s="29">
        <v>15858.502944741507</v>
      </c>
      <c r="L1210" s="30">
        <v>25231.789999999983</v>
      </c>
      <c r="M1210" s="29">
        <v>4.0013841601609904E8</v>
      </c>
      <c r="N1210" s="31" t="s">
        <v>1389</v>
      </c>
      <c r="O1210" s="32"/>
      <c r="P1210" s="33" t="str">
        <f t="array" ref="P1210">IFERROR(
HYPERLINK(
"https://drive.google.com/file/d/"&amp;
XLOOKUP(O1210,'Hoa-Don'!A:A,'Hoa-Don'!D:D)
&amp;"/view",
"🔎"
),
""
)</f>
        <v/>
      </c>
    </row>
    <row r="1211" ht="22.5" customHeight="1">
      <c r="A1211" s="21">
        <v>1210.0</v>
      </c>
      <c r="B1211" s="22">
        <v>45982.0</v>
      </c>
      <c r="C1211" s="23">
        <v>1614.0</v>
      </c>
      <c r="D1211" s="24" t="s">
        <v>253</v>
      </c>
      <c r="E1211" s="39" t="s">
        <v>9</v>
      </c>
      <c r="F1211" s="24" t="s">
        <v>1390</v>
      </c>
      <c r="G1211" s="27" t="s">
        <v>38</v>
      </c>
      <c r="H1211" s="28">
        <v>692.0</v>
      </c>
      <c r="I1211" s="28">
        <v>13818.18</v>
      </c>
      <c r="J1211" s="29">
        <v>9562180.56</v>
      </c>
      <c r="K1211" s="29">
        <v>13818.18</v>
      </c>
      <c r="L1211" s="30">
        <v>692.0</v>
      </c>
      <c r="M1211" s="29">
        <v>9562180.56</v>
      </c>
      <c r="N1211" s="31" t="s">
        <v>1391</v>
      </c>
      <c r="O1211" s="32"/>
      <c r="P1211" s="33" t="str">
        <f t="array" ref="P1211">IFERROR(
HYPERLINK(
"https://drive.google.com/file/d/"&amp;
XLOOKUP(O1211,'Hoa-Don'!A:A,'Hoa-Don'!D:D)
&amp;"/view",
"🔎"
),
""
)</f>
        <v/>
      </c>
    </row>
    <row r="1212" ht="22.5" customHeight="1">
      <c r="A1212" s="21">
        <v>1211.0</v>
      </c>
      <c r="B1212" s="22">
        <v>45982.0</v>
      </c>
      <c r="C1212" s="23">
        <v>1614.0</v>
      </c>
      <c r="D1212" s="24" t="s">
        <v>253</v>
      </c>
      <c r="E1212" s="39" t="s">
        <v>9</v>
      </c>
      <c r="F1212" s="24" t="s">
        <v>1392</v>
      </c>
      <c r="G1212" s="27" t="s">
        <v>38</v>
      </c>
      <c r="H1212" s="28">
        <v>328.0</v>
      </c>
      <c r="I1212" s="28">
        <v>13818.18</v>
      </c>
      <c r="J1212" s="29">
        <v>4532363.04</v>
      </c>
      <c r="K1212" s="29">
        <v>13818.180000000002</v>
      </c>
      <c r="L1212" s="30">
        <v>1020.0</v>
      </c>
      <c r="M1212" s="29">
        <v>1.4094543600000001E7</v>
      </c>
      <c r="N1212" s="31" t="s">
        <v>1393</v>
      </c>
      <c r="O1212" s="32"/>
      <c r="P1212" s="33" t="str">
        <f t="array" ref="P1212">IFERROR(
HYPERLINK(
"https://drive.google.com/file/d/"&amp;
XLOOKUP(O1212,'Hoa-Don'!A:A,'Hoa-Don'!D:D)
&amp;"/view",
"🔎"
),
""
)</f>
        <v/>
      </c>
    </row>
    <row r="1213" ht="22.5" customHeight="1">
      <c r="A1213" s="21">
        <v>1212.0</v>
      </c>
      <c r="B1213" s="22">
        <v>45982.0</v>
      </c>
      <c r="C1213" s="23">
        <v>1614.0</v>
      </c>
      <c r="D1213" s="24" t="s">
        <v>253</v>
      </c>
      <c r="E1213" s="35" t="s">
        <v>18</v>
      </c>
      <c r="F1213" s="24" t="s">
        <v>1394</v>
      </c>
      <c r="G1213" s="27" t="s">
        <v>38</v>
      </c>
      <c r="H1213" s="28">
        <v>1856.0</v>
      </c>
      <c r="I1213" s="28">
        <v>13636.36</v>
      </c>
      <c r="J1213" s="29">
        <v>2.530908416E7</v>
      </c>
      <c r="K1213" s="29">
        <v>12957.25964876466</v>
      </c>
      <c r="L1213" s="30">
        <v>6001.880000000037</v>
      </c>
      <c r="M1213" s="29">
        <v>7.776791754072812E7</v>
      </c>
      <c r="N1213" s="31" t="s">
        <v>1395</v>
      </c>
      <c r="O1213" s="32"/>
      <c r="P1213" s="33" t="str">
        <f t="array" ref="P1213">IFERROR(
HYPERLINK(
"https://drive.google.com/file/d/"&amp;
XLOOKUP(O1213,'Hoa-Don'!A:A,'Hoa-Don'!D:D)
&amp;"/view",
"🔎"
),
""
)</f>
        <v/>
      </c>
    </row>
    <row r="1214" ht="22.5" customHeight="1">
      <c r="A1214" s="21">
        <v>1213.0</v>
      </c>
      <c r="B1214" s="22">
        <v>45982.0</v>
      </c>
      <c r="C1214" s="23">
        <v>1614.0</v>
      </c>
      <c r="D1214" s="24" t="s">
        <v>253</v>
      </c>
      <c r="E1214" s="35" t="s">
        <v>18</v>
      </c>
      <c r="F1214" s="24" t="s">
        <v>1396</v>
      </c>
      <c r="G1214" s="27" t="s">
        <v>38</v>
      </c>
      <c r="H1214" s="28">
        <v>846.0</v>
      </c>
      <c r="I1214" s="28">
        <v>13636.36</v>
      </c>
      <c r="J1214" s="29">
        <v>1.153636056E7</v>
      </c>
      <c r="K1214" s="29">
        <v>13041.156985917925</v>
      </c>
      <c r="L1214" s="30">
        <v>6847.880000000037</v>
      </c>
      <c r="M1214" s="29">
        <v>8.930427810072812E7</v>
      </c>
      <c r="N1214" s="31" t="s">
        <v>1397</v>
      </c>
      <c r="O1214" s="32"/>
      <c r="P1214" s="33" t="str">
        <f t="array" ref="P1214">IFERROR(
HYPERLINK(
"https://drive.google.com/file/d/"&amp;
XLOOKUP(O1214,'Hoa-Don'!A:A,'Hoa-Don'!D:D)
&amp;"/view",
"🔎"
),
""
)</f>
        <v/>
      </c>
    </row>
    <row r="1215" ht="22.5" customHeight="1">
      <c r="A1215" s="21">
        <v>1214.0</v>
      </c>
      <c r="B1215" s="22">
        <v>45982.0</v>
      </c>
      <c r="C1215" s="23">
        <v>1614.0</v>
      </c>
      <c r="D1215" s="24" t="s">
        <v>253</v>
      </c>
      <c r="E1215" s="25" t="s">
        <v>11</v>
      </c>
      <c r="F1215" s="24" t="s">
        <v>1398</v>
      </c>
      <c r="G1215" s="27" t="s">
        <v>38</v>
      </c>
      <c r="H1215" s="28">
        <v>1447.0</v>
      </c>
      <c r="I1215" s="28">
        <v>17415.45</v>
      </c>
      <c r="J1215" s="29">
        <v>2.5200156150000002E7</v>
      </c>
      <c r="K1215" s="29">
        <v>15942.948393315412</v>
      </c>
      <c r="L1215" s="30">
        <v>26678.789999999983</v>
      </c>
      <c r="M1215" s="29">
        <v>4.25338572166099E8</v>
      </c>
      <c r="N1215" s="31" t="s">
        <v>1399</v>
      </c>
      <c r="O1215" s="32"/>
      <c r="P1215" s="33" t="str">
        <f t="array" ref="P1215">IFERROR(
HYPERLINK(
"https://drive.google.com/file/d/"&amp;
XLOOKUP(O1215,'Hoa-Don'!A:A,'Hoa-Don'!D:D)
&amp;"/view",
"🔎"
),
""
)</f>
        <v/>
      </c>
    </row>
    <row r="1216" ht="22.5" customHeight="1">
      <c r="A1216" s="21">
        <v>1215.0</v>
      </c>
      <c r="B1216" s="22">
        <v>45982.0</v>
      </c>
      <c r="C1216" s="23">
        <v>1614.0</v>
      </c>
      <c r="D1216" s="24" t="s">
        <v>253</v>
      </c>
      <c r="E1216" s="25" t="s">
        <v>11</v>
      </c>
      <c r="F1216" s="24" t="s">
        <v>1400</v>
      </c>
      <c r="G1216" s="27" t="s">
        <v>38</v>
      </c>
      <c r="H1216" s="28">
        <v>758.0</v>
      </c>
      <c r="I1216" s="28">
        <v>17415.45</v>
      </c>
      <c r="J1216" s="29">
        <v>1.32009111E7</v>
      </c>
      <c r="K1216" s="29">
        <v>15983.629399288302</v>
      </c>
      <c r="L1216" s="30">
        <v>27436.789999999983</v>
      </c>
      <c r="M1216" s="29">
        <v>4.3853948326609904E8</v>
      </c>
      <c r="N1216" s="31" t="s">
        <v>1401</v>
      </c>
      <c r="O1216" s="32"/>
      <c r="P1216" s="33" t="str">
        <f t="array" ref="P1216">IFERROR(
HYPERLINK(
"https://drive.google.com/file/d/"&amp;
XLOOKUP(O1216,'Hoa-Don'!A:A,'Hoa-Don'!D:D)
&amp;"/view",
"🔎"
),
""
)</f>
        <v/>
      </c>
    </row>
    <row r="1217" ht="22.5" customHeight="1">
      <c r="A1217" s="21">
        <v>1216.0</v>
      </c>
      <c r="B1217" s="22">
        <v>45982.0</v>
      </c>
      <c r="C1217" s="23">
        <v>1614.0</v>
      </c>
      <c r="D1217" s="24" t="s">
        <v>253</v>
      </c>
      <c r="E1217" s="25" t="s">
        <v>11</v>
      </c>
      <c r="F1217" s="24" t="s">
        <v>1402</v>
      </c>
      <c r="G1217" s="27" t="s">
        <v>38</v>
      </c>
      <c r="H1217" s="28">
        <v>425.0</v>
      </c>
      <c r="I1217" s="28">
        <v>17233.64</v>
      </c>
      <c r="J1217" s="29">
        <v>7324297.0</v>
      </c>
      <c r="K1217" s="29">
        <v>16002.696892988544</v>
      </c>
      <c r="L1217" s="30">
        <v>27861.789999999983</v>
      </c>
      <c r="M1217" s="29">
        <v>4.4586378026609904E8</v>
      </c>
      <c r="N1217" s="31" t="s">
        <v>1403</v>
      </c>
      <c r="O1217" s="32"/>
      <c r="P1217" s="33" t="str">
        <f t="array" ref="P1217">IFERROR(
HYPERLINK(
"https://drive.google.com/file/d/"&amp;
XLOOKUP(O1217,'Hoa-Don'!A:A,'Hoa-Don'!D:D)
&amp;"/view",
"🔎"
),
""
)</f>
        <v/>
      </c>
    </row>
    <row r="1218" ht="22.5" customHeight="1">
      <c r="A1218" s="21">
        <v>1217.0</v>
      </c>
      <c r="B1218" s="22">
        <v>45982.0</v>
      </c>
      <c r="C1218" s="23">
        <v>1614.0</v>
      </c>
      <c r="D1218" s="24" t="s">
        <v>253</v>
      </c>
      <c r="E1218" s="25" t="s">
        <v>11</v>
      </c>
      <c r="F1218" s="24" t="s">
        <v>1404</v>
      </c>
      <c r="G1218" s="27" t="s">
        <v>38</v>
      </c>
      <c r="H1218" s="28">
        <v>2045.0</v>
      </c>
      <c r="I1218" s="28">
        <v>16090.91</v>
      </c>
      <c r="J1218" s="29">
        <v>3.290591095E7</v>
      </c>
      <c r="K1218" s="29">
        <v>16008.728827670884</v>
      </c>
      <c r="L1218" s="30">
        <v>29906.789999999983</v>
      </c>
      <c r="M1218" s="29">
        <v>4.78769691216099E8</v>
      </c>
      <c r="N1218" s="31" t="s">
        <v>1405</v>
      </c>
      <c r="O1218" s="32"/>
      <c r="P1218" s="33" t="str">
        <f t="array" ref="P1218">IFERROR(
HYPERLINK(
"https://drive.google.com/file/d/"&amp;
XLOOKUP(O1218,'Hoa-Don'!A:A,'Hoa-Don'!D:D)
&amp;"/view",
"🔎"
),
""
)</f>
        <v/>
      </c>
    </row>
    <row r="1219" ht="22.5" customHeight="1">
      <c r="A1219" s="21">
        <v>1218.0</v>
      </c>
      <c r="B1219" s="22">
        <v>45987.0</v>
      </c>
      <c r="C1219" s="23">
        <v>49.0</v>
      </c>
      <c r="D1219" s="24" t="s">
        <v>1240</v>
      </c>
      <c r="E1219" s="35" t="s">
        <v>18</v>
      </c>
      <c r="F1219" s="24" t="s">
        <v>1291</v>
      </c>
      <c r="G1219" s="36" t="s">
        <v>42</v>
      </c>
      <c r="H1219" s="28">
        <v>334.0</v>
      </c>
      <c r="I1219" s="28">
        <v>13041.156985917925</v>
      </c>
      <c r="J1219" s="29">
        <v>4355746.433296587</v>
      </c>
      <c r="K1219" s="29">
        <v>13041.156985917925</v>
      </c>
      <c r="L1219" s="30">
        <v>6513.880000000037</v>
      </c>
      <c r="M1219" s="29">
        <v>8.494853166743155E7</v>
      </c>
      <c r="N1219" s="31" t="s">
        <v>1406</v>
      </c>
      <c r="O1219" s="32"/>
      <c r="P1219" s="33" t="str">
        <f t="array" ref="P1219">IFERROR(
HYPERLINK(
"https://drive.google.com/file/d/"&amp;
XLOOKUP(O1219,'Hoa-Don'!A:A,'Hoa-Don'!D:D)
&amp;"/view",
"🔎"
),
""
)</f>
        <v/>
      </c>
    </row>
    <row r="1220" ht="22.5" customHeight="1">
      <c r="A1220" s="21">
        <v>1219.0</v>
      </c>
      <c r="B1220" s="22">
        <v>45988.0</v>
      </c>
      <c r="C1220" s="23">
        <v>50.0</v>
      </c>
      <c r="D1220" s="24" t="s">
        <v>1232</v>
      </c>
      <c r="E1220" s="39" t="s">
        <v>9</v>
      </c>
      <c r="F1220" s="24" t="s">
        <v>1390</v>
      </c>
      <c r="G1220" s="36" t="s">
        <v>42</v>
      </c>
      <c r="H1220" s="28">
        <v>692.0</v>
      </c>
      <c r="I1220" s="28">
        <v>13818.180000000002</v>
      </c>
      <c r="J1220" s="29">
        <v>9562180.560000002</v>
      </c>
      <c r="K1220" s="29">
        <v>13818.180000000002</v>
      </c>
      <c r="L1220" s="30">
        <v>328.0</v>
      </c>
      <c r="M1220" s="29">
        <v>4532363.040000001</v>
      </c>
      <c r="N1220" s="31" t="s">
        <v>1407</v>
      </c>
      <c r="O1220" s="32"/>
      <c r="P1220" s="33" t="str">
        <f t="array" ref="P1220">IFERROR(
HYPERLINK(
"https://drive.google.com/file/d/"&amp;
XLOOKUP(O1220,'Hoa-Don'!A:A,'Hoa-Don'!D:D)
&amp;"/view",
"🔎"
),
""
)</f>
        <v/>
      </c>
    </row>
    <row r="1221" ht="22.5" customHeight="1">
      <c r="A1221" s="21">
        <v>1220.0</v>
      </c>
      <c r="B1221" s="22">
        <v>45988.0</v>
      </c>
      <c r="C1221" s="23">
        <v>50.0</v>
      </c>
      <c r="D1221" s="24" t="s">
        <v>1232</v>
      </c>
      <c r="E1221" s="39" t="s">
        <v>9</v>
      </c>
      <c r="F1221" s="24" t="s">
        <v>1408</v>
      </c>
      <c r="G1221" s="36" t="s">
        <v>42</v>
      </c>
      <c r="H1221" s="28">
        <v>328.0</v>
      </c>
      <c r="I1221" s="28">
        <v>13818.180000000002</v>
      </c>
      <c r="J1221" s="29">
        <v>4532363.040000001</v>
      </c>
      <c r="K1221" s="29">
        <v>0.0</v>
      </c>
      <c r="L1221" s="30">
        <v>0.0</v>
      </c>
      <c r="M1221" s="29">
        <v>0.0</v>
      </c>
      <c r="N1221" s="31" t="s">
        <v>1409</v>
      </c>
      <c r="O1221" s="32"/>
      <c r="P1221" s="33" t="str">
        <f t="array" ref="P1221">IFERROR(
HYPERLINK(
"https://drive.google.com/file/d/"&amp;
XLOOKUP(O1221,'Hoa-Don'!A:A,'Hoa-Don'!D:D)
&amp;"/view",
"🔎"
),
""
)</f>
        <v/>
      </c>
    </row>
    <row r="1222" ht="22.5" customHeight="1">
      <c r="A1222" s="21">
        <v>1221.0</v>
      </c>
      <c r="B1222" s="22">
        <v>45988.0</v>
      </c>
      <c r="C1222" s="23">
        <v>50.0</v>
      </c>
      <c r="D1222" s="24" t="s">
        <v>1232</v>
      </c>
      <c r="E1222" s="35" t="s">
        <v>18</v>
      </c>
      <c r="F1222" s="24" t="s">
        <v>1410</v>
      </c>
      <c r="G1222" s="36" t="s">
        <v>42</v>
      </c>
      <c r="H1222" s="28">
        <v>1856.0</v>
      </c>
      <c r="I1222" s="28">
        <v>13041.156985917925</v>
      </c>
      <c r="J1222" s="29">
        <v>2.420438736586367E7</v>
      </c>
      <c r="K1222" s="29">
        <v>13041.156985917925</v>
      </c>
      <c r="L1222" s="30">
        <v>4657.880000000037</v>
      </c>
      <c r="M1222" s="29">
        <v>6.0744144301567875E7</v>
      </c>
      <c r="N1222" s="31" t="s">
        <v>1411</v>
      </c>
      <c r="O1222" s="32"/>
      <c r="P1222" s="33" t="str">
        <f t="array" ref="P1222">IFERROR(
HYPERLINK(
"https://drive.google.com/file/d/"&amp;
XLOOKUP(O1222,'Hoa-Don'!A:A,'Hoa-Don'!D:D)
&amp;"/view",
"🔎"
),
""
)</f>
        <v/>
      </c>
    </row>
    <row r="1223" ht="22.5" customHeight="1">
      <c r="A1223" s="21">
        <v>1222.0</v>
      </c>
      <c r="B1223" s="22">
        <v>45988.0</v>
      </c>
      <c r="C1223" s="23">
        <v>51.0</v>
      </c>
      <c r="D1223" s="24" t="s">
        <v>1232</v>
      </c>
      <c r="E1223" s="35" t="s">
        <v>18</v>
      </c>
      <c r="F1223" s="24" t="s">
        <v>1412</v>
      </c>
      <c r="G1223" s="36" t="s">
        <v>42</v>
      </c>
      <c r="H1223" s="28">
        <v>213.95</v>
      </c>
      <c r="I1223" s="28">
        <v>13041.156985917925</v>
      </c>
      <c r="J1223" s="29">
        <v>2790155.53713714</v>
      </c>
      <c r="K1223" s="29">
        <v>13041.156985917925</v>
      </c>
      <c r="L1223" s="30">
        <v>4443.930000000038</v>
      </c>
      <c r="M1223" s="29">
        <v>5.795398876443074E7</v>
      </c>
      <c r="N1223" s="31" t="s">
        <v>1413</v>
      </c>
      <c r="O1223" s="32"/>
      <c r="P1223" s="33" t="str">
        <f t="array" ref="P1223">IFERROR(
HYPERLINK(
"https://drive.google.com/file/d/"&amp;
XLOOKUP(O1223,'Hoa-Don'!A:A,'Hoa-Don'!D:D)
&amp;"/view",
"🔎"
),
""
)</f>
        <v/>
      </c>
    </row>
    <row r="1224" ht="22.5" customHeight="1">
      <c r="A1224" s="21">
        <v>1223.0</v>
      </c>
      <c r="B1224" s="22">
        <v>45988.0</v>
      </c>
      <c r="C1224" s="23">
        <v>51.0</v>
      </c>
      <c r="D1224" s="24" t="s">
        <v>1232</v>
      </c>
      <c r="E1224" s="25" t="s">
        <v>11</v>
      </c>
      <c r="F1224" s="24" t="s">
        <v>1259</v>
      </c>
      <c r="G1224" s="36" t="s">
        <v>42</v>
      </c>
      <c r="H1224" s="28">
        <v>514.0</v>
      </c>
      <c r="I1224" s="28">
        <v>16008.728827670884</v>
      </c>
      <c r="J1224" s="29">
        <v>8228486.617422834</v>
      </c>
      <c r="K1224" s="29">
        <v>16008.728827670884</v>
      </c>
      <c r="L1224" s="30">
        <v>29392.789999999983</v>
      </c>
      <c r="M1224" s="29">
        <v>4.705412045986762E8</v>
      </c>
      <c r="N1224" s="31" t="s">
        <v>1414</v>
      </c>
      <c r="O1224" s="32"/>
      <c r="P1224" s="33" t="str">
        <f t="array" ref="P1224">IFERROR(
HYPERLINK(
"https://drive.google.com/file/d/"&amp;
XLOOKUP(O1224,'Hoa-Don'!A:A,'Hoa-Don'!D:D)
&amp;"/view",
"🔎"
),
""
)</f>
        <v/>
      </c>
    </row>
    <row r="1225" ht="22.5" customHeight="1">
      <c r="A1225" s="21">
        <v>1224.0</v>
      </c>
      <c r="B1225" s="22">
        <v>45988.0</v>
      </c>
      <c r="C1225" s="23">
        <v>52.0</v>
      </c>
      <c r="D1225" s="24" t="s">
        <v>1232</v>
      </c>
      <c r="E1225" s="25" t="s">
        <v>11</v>
      </c>
      <c r="F1225" s="24" t="s">
        <v>1398</v>
      </c>
      <c r="G1225" s="36" t="s">
        <v>42</v>
      </c>
      <c r="H1225" s="28">
        <v>1447.0</v>
      </c>
      <c r="I1225" s="28">
        <v>16008.728827670884</v>
      </c>
      <c r="J1225" s="29">
        <v>2.316463061363977E7</v>
      </c>
      <c r="K1225" s="29">
        <v>16008.728827670884</v>
      </c>
      <c r="L1225" s="30">
        <v>27945.789999999983</v>
      </c>
      <c r="M1225" s="29">
        <v>4.4737657398503643E8</v>
      </c>
      <c r="N1225" s="31" t="s">
        <v>1415</v>
      </c>
      <c r="O1225" s="32"/>
      <c r="P1225" s="33" t="str">
        <f t="array" ref="P1225">IFERROR(
HYPERLINK(
"https://drive.google.com/file/d/"&amp;
XLOOKUP(O1225,'Hoa-Don'!A:A,'Hoa-Don'!D:D)
&amp;"/view",
"🔎"
),
""
)</f>
        <v/>
      </c>
    </row>
    <row r="1226" ht="22.5" customHeight="1">
      <c r="A1226" s="21">
        <v>1225.0</v>
      </c>
      <c r="B1226" s="22">
        <v>45988.0</v>
      </c>
      <c r="C1226" s="23">
        <v>52.0</v>
      </c>
      <c r="D1226" s="24" t="s">
        <v>1232</v>
      </c>
      <c r="E1226" s="25" t="s">
        <v>11</v>
      </c>
      <c r="F1226" s="24" t="s">
        <v>1416</v>
      </c>
      <c r="G1226" s="36" t="s">
        <v>42</v>
      </c>
      <c r="H1226" s="28">
        <v>758.0</v>
      </c>
      <c r="I1226" s="28">
        <v>16008.728827670884</v>
      </c>
      <c r="J1226" s="29">
        <v>1.213461645137453E7</v>
      </c>
      <c r="K1226" s="29">
        <v>16008.728827670884</v>
      </c>
      <c r="L1226" s="30">
        <v>27187.789999999983</v>
      </c>
      <c r="M1226" s="29">
        <v>4.352419575336619E8</v>
      </c>
      <c r="N1226" s="31" t="s">
        <v>1417</v>
      </c>
      <c r="O1226" s="32"/>
      <c r="P1226" s="33" t="str">
        <f t="array" ref="P1226">IFERROR(
HYPERLINK(
"https://drive.google.com/file/d/"&amp;
XLOOKUP(O1226,'Hoa-Don'!A:A,'Hoa-Don'!D:D)
&amp;"/view",
"🔎"
),
""
)</f>
        <v/>
      </c>
    </row>
    <row r="1227" ht="22.5" customHeight="1">
      <c r="A1227" s="21">
        <v>1226.0</v>
      </c>
      <c r="B1227" s="22">
        <v>45988.0</v>
      </c>
      <c r="C1227" s="23">
        <v>52.0</v>
      </c>
      <c r="D1227" s="24" t="s">
        <v>1232</v>
      </c>
      <c r="E1227" s="25" t="s">
        <v>11</v>
      </c>
      <c r="F1227" s="24" t="s">
        <v>1418</v>
      </c>
      <c r="G1227" s="36" t="s">
        <v>42</v>
      </c>
      <c r="H1227" s="28">
        <v>425.0</v>
      </c>
      <c r="I1227" s="28">
        <v>16008.728827670884</v>
      </c>
      <c r="J1227" s="29">
        <v>6803709.751760126</v>
      </c>
      <c r="K1227" s="29">
        <v>16008.728827670884</v>
      </c>
      <c r="L1227" s="30">
        <v>26762.789999999983</v>
      </c>
      <c r="M1227" s="29">
        <v>4.284382477819018E8</v>
      </c>
      <c r="N1227" s="31" t="s">
        <v>1419</v>
      </c>
      <c r="O1227" s="32"/>
      <c r="P1227" s="33" t="str">
        <f t="array" ref="P1227">IFERROR(
HYPERLINK(
"https://drive.google.com/file/d/"&amp;
XLOOKUP(O1227,'Hoa-Don'!A:A,'Hoa-Don'!D:D)
&amp;"/view",
"🔎"
),
""
)</f>
        <v/>
      </c>
    </row>
    <row r="1228" ht="22.5" customHeight="1">
      <c r="A1228" s="21">
        <v>1227.0</v>
      </c>
      <c r="B1228" s="22">
        <v>45988.0</v>
      </c>
      <c r="C1228" s="23">
        <v>52.0</v>
      </c>
      <c r="D1228" s="24" t="s">
        <v>1232</v>
      </c>
      <c r="E1228" s="25" t="s">
        <v>11</v>
      </c>
      <c r="F1228" s="24" t="s">
        <v>1404</v>
      </c>
      <c r="G1228" s="36" t="s">
        <v>42</v>
      </c>
      <c r="H1228" s="28">
        <v>2045.0</v>
      </c>
      <c r="I1228" s="28">
        <v>16008.728827670884</v>
      </c>
      <c r="J1228" s="29">
        <v>3.2737850452586956E7</v>
      </c>
      <c r="K1228" s="29">
        <v>16008.728827670884</v>
      </c>
      <c r="L1228" s="30">
        <v>24717.789999999983</v>
      </c>
      <c r="M1228" s="29">
        <v>3.957003973293148E8</v>
      </c>
      <c r="N1228" s="31" t="s">
        <v>1420</v>
      </c>
      <c r="O1228" s="32"/>
      <c r="P1228" s="33" t="str">
        <f t="array" ref="P1228">IFERROR(
HYPERLINK(
"https://drive.google.com/file/d/"&amp;
XLOOKUP(O1228,'Hoa-Don'!A:A,'Hoa-Don'!D:D)
&amp;"/view",
"🔎"
),
""
)</f>
        <v/>
      </c>
    </row>
    <row r="1229" ht="22.5" customHeight="1">
      <c r="A1229" s="21">
        <v>1228.0</v>
      </c>
      <c r="B1229" s="22">
        <v>45996.0</v>
      </c>
      <c r="C1229" s="23">
        <v>55.0</v>
      </c>
      <c r="D1229" s="24" t="s">
        <v>1238</v>
      </c>
      <c r="E1229" s="35" t="s">
        <v>18</v>
      </c>
      <c r="F1229" s="24" t="s">
        <v>1261</v>
      </c>
      <c r="G1229" s="36" t="s">
        <v>42</v>
      </c>
      <c r="H1229" s="28">
        <v>1190.97</v>
      </c>
      <c r="I1229" s="28">
        <v>13041.156985917925</v>
      </c>
      <c r="J1229" s="29">
        <v>1.5531626735518672E7</v>
      </c>
      <c r="K1229" s="29">
        <v>13041.156985917925</v>
      </c>
      <c r="L1229" s="30">
        <v>3252.9600000000373</v>
      </c>
      <c r="M1229" s="29">
        <v>4.242236202891206E7</v>
      </c>
      <c r="N1229" s="31" t="s">
        <v>1421</v>
      </c>
      <c r="O1229" s="32"/>
      <c r="P1229" s="33" t="str">
        <f t="array" ref="P1229">IFERROR(
HYPERLINK(
"https://drive.google.com/file/d/"&amp;
XLOOKUP(O1229,'Hoa-Don'!A:A,'Hoa-Don'!D:D)
&amp;"/view",
"🔎"
),
""
)</f>
        <v/>
      </c>
    </row>
    <row r="1230" ht="22.5" customHeight="1">
      <c r="A1230" s="21">
        <v>1229.0</v>
      </c>
      <c r="B1230" s="22">
        <v>46000.0</v>
      </c>
      <c r="C1230" s="23">
        <v>56.0</v>
      </c>
      <c r="D1230" s="24" t="s">
        <v>864</v>
      </c>
      <c r="E1230" s="35" t="s">
        <v>18</v>
      </c>
      <c r="F1230" s="24" t="s">
        <v>1396</v>
      </c>
      <c r="G1230" s="36" t="s">
        <v>42</v>
      </c>
      <c r="H1230" s="28">
        <v>544.07</v>
      </c>
      <c r="I1230" s="28">
        <v>13041.156985917925</v>
      </c>
      <c r="J1230" s="29">
        <v>7095302.281328366</v>
      </c>
      <c r="K1230" s="29">
        <v>13041.156985917925</v>
      </c>
      <c r="L1230" s="30">
        <v>2708.890000000037</v>
      </c>
      <c r="M1230" s="29">
        <v>3.5327059747583695E7</v>
      </c>
      <c r="N1230" s="31" t="s">
        <v>1422</v>
      </c>
      <c r="O1230" s="32"/>
      <c r="P1230" s="33" t="str">
        <f t="array" ref="P1230">IFERROR(
HYPERLINK(
"https://drive.google.com/file/d/"&amp;
XLOOKUP(O1230,'Hoa-Don'!A:A,'Hoa-Don'!D:D)
&amp;"/view",
"🔎"
),
""
)</f>
        <v/>
      </c>
    </row>
    <row r="1231" ht="22.5" customHeight="1">
      <c r="A1231" s="21">
        <v>1230.0</v>
      </c>
      <c r="B1231" s="22">
        <v>46013.0</v>
      </c>
      <c r="C1231" s="23">
        <v>8025.0</v>
      </c>
      <c r="D1231" s="24" t="s">
        <v>86</v>
      </c>
      <c r="E1231" s="35" t="s">
        <v>18</v>
      </c>
      <c r="F1231" s="24" t="s">
        <v>1423</v>
      </c>
      <c r="G1231" s="27" t="s">
        <v>38</v>
      </c>
      <c r="H1231" s="28">
        <v>1814.0</v>
      </c>
      <c r="I1231" s="28">
        <v>13636.36</v>
      </c>
      <c r="J1231" s="29">
        <v>2.4736357040000003E7</v>
      </c>
      <c r="K1231" s="29">
        <v>13279.87565197986</v>
      </c>
      <c r="L1231" s="30">
        <v>4522.890000000038</v>
      </c>
      <c r="M1231" s="29">
        <v>6.0063416787583694E7</v>
      </c>
      <c r="N1231" s="31" t="s">
        <v>1424</v>
      </c>
      <c r="O1231" s="32"/>
      <c r="P1231" s="33" t="str">
        <f t="array" ref="P1231">IFERROR(
HYPERLINK(
"https://drive.google.com/file/d/"&amp;
XLOOKUP(O1231,'Hoa-Don'!A:A,'Hoa-Don'!D:D)
&amp;"/view",
"🔎"
),
""
)</f>
        <v/>
      </c>
    </row>
    <row r="1232" ht="22.5" customHeight="1">
      <c r="A1232" s="21">
        <v>1231.0</v>
      </c>
      <c r="B1232" s="22">
        <v>46013.0</v>
      </c>
      <c r="C1232" s="23">
        <v>8025.0</v>
      </c>
      <c r="D1232" s="24" t="s">
        <v>86</v>
      </c>
      <c r="E1232" s="35" t="s">
        <v>18</v>
      </c>
      <c r="F1232" s="24" t="s">
        <v>1425</v>
      </c>
      <c r="G1232" s="27" t="s">
        <v>38</v>
      </c>
      <c r="H1232" s="28">
        <v>680.0</v>
      </c>
      <c r="I1232" s="28">
        <v>13909.09</v>
      </c>
      <c r="J1232" s="29">
        <v>9458181.2</v>
      </c>
      <c r="K1232" s="29">
        <v>13362.111823925394</v>
      </c>
      <c r="L1232" s="30">
        <v>5202.890000000038</v>
      </c>
      <c r="M1232" s="29">
        <v>6.95215979875837E7</v>
      </c>
      <c r="N1232" s="31" t="s">
        <v>1426</v>
      </c>
      <c r="O1232" s="32"/>
      <c r="P1232" s="33" t="str">
        <f t="array" ref="P1232">IFERROR(
HYPERLINK(
"https://drive.google.com/file/d/"&amp;
XLOOKUP(O1232,'Hoa-Don'!A:A,'Hoa-Don'!D:D)
&amp;"/view",
"🔎"
),
""
)</f>
        <v/>
      </c>
    </row>
    <row r="1233" ht="22.5" customHeight="1">
      <c r="A1233" s="21">
        <v>1232.0</v>
      </c>
      <c r="B1233" s="22">
        <v>46013.0</v>
      </c>
      <c r="C1233" s="23">
        <v>8025.0</v>
      </c>
      <c r="D1233" s="24" t="s">
        <v>86</v>
      </c>
      <c r="E1233" s="35" t="s">
        <v>18</v>
      </c>
      <c r="F1233" s="24" t="s">
        <v>1427</v>
      </c>
      <c r="G1233" s="27" t="s">
        <v>38</v>
      </c>
      <c r="H1233" s="28">
        <v>2231.0</v>
      </c>
      <c r="I1233" s="28">
        <v>13727.27</v>
      </c>
      <c r="J1233" s="29">
        <v>3.062553937E7</v>
      </c>
      <c r="K1233" s="29">
        <v>13471.700194323994</v>
      </c>
      <c r="L1233" s="30">
        <v>7433.890000000038</v>
      </c>
      <c r="M1233" s="29">
        <v>1.001471373575837E8</v>
      </c>
      <c r="N1233" s="31" t="s">
        <v>1428</v>
      </c>
      <c r="O1233" s="32"/>
      <c r="P1233" s="33" t="str">
        <f t="array" ref="P1233">IFERROR(
HYPERLINK(
"https://drive.google.com/file/d/"&amp;
XLOOKUP(O1233,'Hoa-Don'!A:A,'Hoa-Don'!D:D)
&amp;"/view",
"🔎"
),
""
)</f>
        <v/>
      </c>
    </row>
    <row r="1234" ht="22.5" customHeight="1">
      <c r="A1234" s="21">
        <v>1233.0</v>
      </c>
      <c r="B1234" s="22">
        <v>46013.0</v>
      </c>
      <c r="C1234" s="23">
        <v>8025.0</v>
      </c>
      <c r="D1234" s="24" t="s">
        <v>86</v>
      </c>
      <c r="E1234" s="35" t="s">
        <v>18</v>
      </c>
      <c r="F1234" s="24" t="s">
        <v>1429</v>
      </c>
      <c r="G1234" s="27" t="s">
        <v>38</v>
      </c>
      <c r="H1234" s="28">
        <v>1485.0</v>
      </c>
      <c r="I1234" s="28">
        <v>13727.27</v>
      </c>
      <c r="J1234" s="29">
        <v>2.038499595E7</v>
      </c>
      <c r="K1234" s="29">
        <v>13514.25270494234</v>
      </c>
      <c r="L1234" s="30">
        <v>8918.890000000038</v>
      </c>
      <c r="M1234" s="29">
        <v>1.205321333075837E8</v>
      </c>
      <c r="N1234" s="31" t="s">
        <v>1430</v>
      </c>
      <c r="O1234" s="32"/>
      <c r="P1234" s="33" t="str">
        <f t="array" ref="P1234">IFERROR(
HYPERLINK(
"https://drive.google.com/file/d/"&amp;
XLOOKUP(O1234,'Hoa-Don'!A:A,'Hoa-Don'!D:D)
&amp;"/view",
"🔎"
),
""
)</f>
        <v/>
      </c>
    </row>
    <row r="1235" ht="22.5" customHeight="1">
      <c r="A1235" s="21">
        <v>1234.0</v>
      </c>
      <c r="B1235" s="22">
        <v>46013.0</v>
      </c>
      <c r="C1235" s="23">
        <v>57.0</v>
      </c>
      <c r="D1235" s="24" t="s">
        <v>1431</v>
      </c>
      <c r="E1235" s="25" t="s">
        <v>11</v>
      </c>
      <c r="F1235" s="24" t="s">
        <v>1383</v>
      </c>
      <c r="G1235" s="36" t="s">
        <v>42</v>
      </c>
      <c r="H1235" s="28">
        <v>1697.99</v>
      </c>
      <c r="I1235" s="28">
        <v>16008.728827670884</v>
      </c>
      <c r="J1235" s="29">
        <v>2.7182661462096885E7</v>
      </c>
      <c r="K1235" s="29">
        <v>16008.728827670884</v>
      </c>
      <c r="L1235" s="30">
        <v>23019.79999999998</v>
      </c>
      <c r="M1235" s="29">
        <v>3.685177358672179E8</v>
      </c>
      <c r="N1235" s="31" t="s">
        <v>1432</v>
      </c>
      <c r="O1235" s="32"/>
      <c r="P1235" s="33" t="str">
        <f t="array" ref="P1235">IFERROR(
HYPERLINK(
"https://drive.google.com/file/d/"&amp;
XLOOKUP(O1235,'Hoa-Don'!A:A,'Hoa-Don'!D:D)
&amp;"/view",
"🔎"
),
""
)</f>
        <v/>
      </c>
    </row>
    <row r="1236" ht="22.5" customHeight="1">
      <c r="A1236" s="21">
        <v>1235.0</v>
      </c>
      <c r="B1236" s="22">
        <v>46013.0</v>
      </c>
      <c r="C1236" s="23">
        <v>58.0</v>
      </c>
      <c r="D1236" s="24" t="s">
        <v>1257</v>
      </c>
      <c r="E1236" s="40" t="s">
        <v>13</v>
      </c>
      <c r="F1236" s="24" t="s">
        <v>1320</v>
      </c>
      <c r="G1236" s="36" t="s">
        <v>42</v>
      </c>
      <c r="H1236" s="28">
        <v>285.75</v>
      </c>
      <c r="I1236" s="28">
        <v>15372.20451038259</v>
      </c>
      <c r="J1236" s="29">
        <v>4392607.438841825</v>
      </c>
      <c r="K1236" s="29">
        <v>15372.20451038259</v>
      </c>
      <c r="L1236" s="30">
        <v>1592.5</v>
      </c>
      <c r="M1236" s="29">
        <v>2.4480235682784274E7</v>
      </c>
      <c r="N1236" s="31" t="s">
        <v>1433</v>
      </c>
      <c r="O1236" s="32"/>
      <c r="P1236" s="33" t="str">
        <f t="array" ref="P1236">IFERROR(
HYPERLINK(
"https://drive.google.com/file/d/"&amp;
XLOOKUP(O1236,'Hoa-Don'!A:A,'Hoa-Don'!D:D)
&amp;"/view",
"🔎"
),
""
)</f>
        <v/>
      </c>
    </row>
    <row r="1237" ht="22.5" customHeight="1">
      <c r="A1237" s="21">
        <v>1236.0</v>
      </c>
      <c r="B1237" s="22">
        <v>46013.0</v>
      </c>
      <c r="C1237" s="23">
        <v>58.0</v>
      </c>
      <c r="D1237" s="24" t="s">
        <v>1257</v>
      </c>
      <c r="E1237" s="40" t="s">
        <v>13</v>
      </c>
      <c r="F1237" s="24" t="s">
        <v>1318</v>
      </c>
      <c r="G1237" s="36" t="s">
        <v>42</v>
      </c>
      <c r="H1237" s="28">
        <v>540.0</v>
      </c>
      <c r="I1237" s="28">
        <v>15372.20451038259</v>
      </c>
      <c r="J1237" s="29">
        <v>8300990.435606598</v>
      </c>
      <c r="K1237" s="29">
        <v>15372.20451038259</v>
      </c>
      <c r="L1237" s="30">
        <v>1052.5</v>
      </c>
      <c r="M1237" s="29">
        <v>1.6179245247177675E7</v>
      </c>
      <c r="N1237" s="31" t="s">
        <v>1434</v>
      </c>
      <c r="O1237" s="32"/>
      <c r="P1237" s="33" t="str">
        <f t="array" ref="P1237">IFERROR(
HYPERLINK(
"https://drive.google.com/file/d/"&amp;
XLOOKUP(O1237,'Hoa-Don'!A:A,'Hoa-Don'!D:D)
&amp;"/view",
"🔎"
),
""
)</f>
        <v/>
      </c>
    </row>
    <row r="1238" ht="22.5" customHeight="1">
      <c r="A1238" s="21">
        <v>1237.0</v>
      </c>
      <c r="B1238" s="22">
        <v>46014.0</v>
      </c>
      <c r="C1238" s="23">
        <v>59.0</v>
      </c>
      <c r="D1238" s="24" t="s">
        <v>1349</v>
      </c>
      <c r="E1238" s="25" t="s">
        <v>11</v>
      </c>
      <c r="F1238" s="24" t="s">
        <v>1369</v>
      </c>
      <c r="G1238" s="36" t="s">
        <v>42</v>
      </c>
      <c r="H1238" s="28">
        <v>662.38</v>
      </c>
      <c r="I1238" s="28">
        <v>16008.728827670884</v>
      </c>
      <c r="J1238" s="29">
        <v>1.060386180087264E7</v>
      </c>
      <c r="K1238" s="29">
        <v>16008.728827670884</v>
      </c>
      <c r="L1238" s="30">
        <v>22357.41999999998</v>
      </c>
      <c r="M1238" s="29">
        <v>3.579138740663453E8</v>
      </c>
      <c r="N1238" s="31" t="s">
        <v>1435</v>
      </c>
      <c r="O1238" s="32"/>
      <c r="P1238" s="33" t="str">
        <f t="array" ref="P1238">IFERROR(
HYPERLINK(
"https://drive.google.com/file/d/"&amp;
XLOOKUP(O1238,'Hoa-Don'!A:A,'Hoa-Don'!D:D)
&amp;"/view",
"🔎"
),
""
)</f>
        <v/>
      </c>
    </row>
    <row r="1239" ht="22.5" customHeight="1">
      <c r="A1239" s="21">
        <v>1238.0</v>
      </c>
      <c r="B1239" s="22">
        <v>46017.0</v>
      </c>
      <c r="C1239" s="23">
        <v>60.0</v>
      </c>
      <c r="D1239" s="24" t="s">
        <v>1436</v>
      </c>
      <c r="E1239" s="35" t="s">
        <v>18</v>
      </c>
      <c r="F1239" s="24" t="s">
        <v>19</v>
      </c>
      <c r="G1239" s="36" t="s">
        <v>42</v>
      </c>
      <c r="H1239" s="28">
        <v>271.0</v>
      </c>
      <c r="I1239" s="28">
        <v>13514.25270494234</v>
      </c>
      <c r="J1239" s="29">
        <v>3662362.4830393745</v>
      </c>
      <c r="K1239" s="29">
        <v>13514.25270494234</v>
      </c>
      <c r="L1239" s="30">
        <v>8647.890000000038</v>
      </c>
      <c r="M1239" s="29">
        <v>1.1686977082454433E8</v>
      </c>
      <c r="N1239" s="31" t="s">
        <v>1437</v>
      </c>
      <c r="O1239" s="32"/>
      <c r="P1239" s="33" t="str">
        <f t="array" ref="P1239">IFERROR(
HYPERLINK(
"https://drive.google.com/file/d/"&amp;
XLOOKUP(O1239,'Hoa-Don'!A:A,'Hoa-Don'!D:D)
&amp;"/view",
"🔎"
),
""
)</f>
        <v/>
      </c>
    </row>
    <row r="1240" ht="22.5" customHeight="1">
      <c r="A1240" s="21">
        <v>1239.0</v>
      </c>
      <c r="B1240" s="22">
        <v>46017.0</v>
      </c>
      <c r="C1240" s="23">
        <v>61.0</v>
      </c>
      <c r="D1240" s="24" t="s">
        <v>935</v>
      </c>
      <c r="E1240" s="25" t="s">
        <v>11</v>
      </c>
      <c r="F1240" s="24" t="s">
        <v>1255</v>
      </c>
      <c r="G1240" s="36" t="s">
        <v>42</v>
      </c>
      <c r="H1240" s="28">
        <v>132.0</v>
      </c>
      <c r="I1240" s="28">
        <v>16008.728827670884</v>
      </c>
      <c r="J1240" s="29">
        <v>2113152.2052525566</v>
      </c>
      <c r="K1240" s="29">
        <v>16008.728827670884</v>
      </c>
      <c r="L1240" s="30">
        <v>22225.41999999998</v>
      </c>
      <c r="M1240" s="29">
        <v>3.558007218610927E8</v>
      </c>
      <c r="N1240" s="31" t="s">
        <v>1438</v>
      </c>
      <c r="O1240" s="32"/>
      <c r="P1240" s="33" t="str">
        <f t="array" ref="P1240">IFERROR(
HYPERLINK(
"https://drive.google.com/file/d/"&amp;
XLOOKUP(O1240,'Hoa-Don'!A:A,'Hoa-Don'!D:D)
&amp;"/view",
"🔎"
),
""
)</f>
        <v/>
      </c>
    </row>
    <row r="1241" ht="22.5" customHeight="1">
      <c r="A1241" s="21">
        <v>1240.0</v>
      </c>
      <c r="B1241" s="22">
        <v>46020.0</v>
      </c>
      <c r="C1241" s="23">
        <v>62.0</v>
      </c>
      <c r="D1241" s="24" t="s">
        <v>1439</v>
      </c>
      <c r="E1241" s="37" t="s">
        <v>16</v>
      </c>
      <c r="F1241" s="24" t="s">
        <v>1440</v>
      </c>
      <c r="G1241" s="36" t="s">
        <v>42</v>
      </c>
      <c r="H1241" s="28">
        <v>1107.0</v>
      </c>
      <c r="I1241" s="28">
        <v>16863.709695327925</v>
      </c>
      <c r="J1241" s="29">
        <v>1.8668126632728014E7</v>
      </c>
      <c r="K1241" s="29">
        <v>16863.709695327925</v>
      </c>
      <c r="L1241" s="30">
        <v>60.00999999999999</v>
      </c>
      <c r="M1241" s="29">
        <v>1011991.2188166287</v>
      </c>
      <c r="N1241" s="31" t="s">
        <v>1441</v>
      </c>
      <c r="O1241" s="32"/>
      <c r="P1241" s="33" t="str">
        <f t="array" ref="P1241">IFERROR(
HYPERLINK(
"https://drive.google.com/file/d/"&amp;
XLOOKUP(O1241,'Hoa-Don'!A:A,'Hoa-Don'!D:D)
&amp;"/view",
"🔎"
),
""
)</f>
        <v/>
      </c>
    </row>
    <row r="1242" ht="22.5" customHeight="1">
      <c r="A1242" s="21">
        <v>1241.0</v>
      </c>
      <c r="B1242" s="22">
        <v>46020.0</v>
      </c>
      <c r="C1242" s="23">
        <v>62.0</v>
      </c>
      <c r="D1242" s="24" t="s">
        <v>1439</v>
      </c>
      <c r="E1242" s="35" t="s">
        <v>18</v>
      </c>
      <c r="F1242" s="24" t="s">
        <v>1291</v>
      </c>
      <c r="G1242" s="36" t="s">
        <v>42</v>
      </c>
      <c r="H1242" s="28">
        <v>700.19</v>
      </c>
      <c r="I1242" s="28">
        <v>13514.25270494234</v>
      </c>
      <c r="J1242" s="29">
        <v>9462544.601473577</v>
      </c>
      <c r="K1242" s="29">
        <v>13514.25270494234</v>
      </c>
      <c r="L1242" s="30">
        <v>7947.700000000037</v>
      </c>
      <c r="M1242" s="29">
        <v>1.0740722622307074E8</v>
      </c>
      <c r="N1242" s="31" t="s">
        <v>1442</v>
      </c>
      <c r="O1242" s="32"/>
      <c r="P1242" s="33" t="str">
        <f t="array" ref="P1242">IFERROR(
HYPERLINK(
"https://drive.google.com/file/d/"&amp;
XLOOKUP(O1242,'Hoa-Don'!A:A,'Hoa-Don'!D:D)
&amp;"/view",
"🔎"
),
""
)</f>
        <v/>
      </c>
    </row>
    <row r="1243" ht="22.5" customHeight="1">
      <c r="A1243" s="21">
        <v>1242.0</v>
      </c>
      <c r="B1243" s="22">
        <v>46020.0</v>
      </c>
      <c r="C1243" s="23">
        <v>62.0</v>
      </c>
      <c r="D1243" s="24" t="s">
        <v>1439</v>
      </c>
      <c r="E1243" s="25" t="s">
        <v>11</v>
      </c>
      <c r="F1243" s="24" t="s">
        <v>1300</v>
      </c>
      <c r="G1243" s="36" t="s">
        <v>42</v>
      </c>
      <c r="H1243" s="28">
        <v>4436.8</v>
      </c>
      <c r="I1243" s="28">
        <v>16008.728827670884</v>
      </c>
      <c r="J1243" s="29">
        <v>7.102752806261018E7</v>
      </c>
      <c r="K1243" s="29">
        <v>16008.728827670884</v>
      </c>
      <c r="L1243" s="30">
        <v>17788.61999999998</v>
      </c>
      <c r="M1243" s="29">
        <v>2.8477319379848254E8</v>
      </c>
      <c r="N1243" s="31" t="s">
        <v>1443</v>
      </c>
      <c r="O1243" s="32"/>
      <c r="P1243" s="33" t="str">
        <f t="array" ref="P1243">IFERROR(
HYPERLINK(
"https://drive.google.com/file/d/"&amp;
XLOOKUP(O1243,'Hoa-Don'!A:A,'Hoa-Don'!D:D)
&amp;"/view",
"🔎"
),
""
)</f>
        <v/>
      </c>
    </row>
    <row r="1244" ht="22.5" customHeight="1">
      <c r="A1244" s="21">
        <v>1243.0</v>
      </c>
      <c r="B1244" s="22">
        <v>46021.0</v>
      </c>
      <c r="C1244" s="23">
        <v>63.0</v>
      </c>
      <c r="D1244" s="24" t="s">
        <v>1240</v>
      </c>
      <c r="E1244" s="40" t="s">
        <v>13</v>
      </c>
      <c r="F1244" s="24" t="s">
        <v>1318</v>
      </c>
      <c r="G1244" s="36" t="s">
        <v>42</v>
      </c>
      <c r="H1244" s="28">
        <v>967.83</v>
      </c>
      <c r="I1244" s="28">
        <v>15372.20451038259</v>
      </c>
      <c r="J1244" s="29">
        <v>1.4877680691283582E7</v>
      </c>
      <c r="K1244" s="29">
        <v>15372.20451038259</v>
      </c>
      <c r="L1244" s="30">
        <v>84.66999999999996</v>
      </c>
      <c r="M1244" s="29">
        <v>1301564.5558940931</v>
      </c>
      <c r="N1244" s="31" t="s">
        <v>1444</v>
      </c>
      <c r="O1244" s="32"/>
      <c r="P1244" s="33" t="str">
        <f t="array" ref="P1244">IFERROR(
HYPERLINK(
"https://drive.google.com/file/d/"&amp;
XLOOKUP(O1244,'Hoa-Don'!A:A,'Hoa-Don'!D:D)
&amp;"/view",
"🔎"
),
""
)</f>
        <v/>
      </c>
    </row>
    <row r="1245" ht="22.5" customHeight="1">
      <c r="A1245" s="21">
        <v>1244.0</v>
      </c>
      <c r="B1245" s="22">
        <v>46021.0</v>
      </c>
      <c r="C1245" s="23">
        <v>64.0</v>
      </c>
      <c r="D1245" s="24" t="s">
        <v>1445</v>
      </c>
      <c r="E1245" s="35" t="s">
        <v>18</v>
      </c>
      <c r="F1245" s="24" t="s">
        <v>1291</v>
      </c>
      <c r="G1245" s="36" t="s">
        <v>42</v>
      </c>
      <c r="H1245" s="28">
        <v>300.0</v>
      </c>
      <c r="I1245" s="28">
        <v>13514.25270494234</v>
      </c>
      <c r="J1245" s="29">
        <v>4054275.8114827024</v>
      </c>
      <c r="K1245" s="29">
        <v>13514.25270494234</v>
      </c>
      <c r="L1245" s="30">
        <v>7647.700000000037</v>
      </c>
      <c r="M1245" s="29">
        <v>1.0335295041158804E8</v>
      </c>
      <c r="N1245" s="31" t="s">
        <v>1446</v>
      </c>
      <c r="O1245" s="32"/>
      <c r="P1245" s="33" t="str">
        <f t="array" ref="P1245">IFERROR(
HYPERLINK(
"https://drive.google.com/file/d/"&amp;
XLOOKUP(O1245,'Hoa-Don'!A:A,'Hoa-Don'!D:D)
&amp;"/view",
"🔎"
),
""
)</f>
        <v/>
      </c>
    </row>
    <row r="1246" ht="22.5" customHeight="1">
      <c r="A1246" s="21">
        <v>1245.0</v>
      </c>
      <c r="B1246" s="22">
        <v>46022.0</v>
      </c>
      <c r="C1246" s="23">
        <v>65.0</v>
      </c>
      <c r="D1246" s="24" t="s">
        <v>1232</v>
      </c>
      <c r="E1246" s="35" t="s">
        <v>18</v>
      </c>
      <c r="F1246" s="24" t="s">
        <v>1291</v>
      </c>
      <c r="G1246" s="36" t="s">
        <v>42</v>
      </c>
      <c r="H1246" s="28">
        <v>1995.5</v>
      </c>
      <c r="I1246" s="28">
        <v>13514.25270494234</v>
      </c>
      <c r="J1246" s="29">
        <v>2.696769127271244E7</v>
      </c>
      <c r="K1246" s="29">
        <v>13514.25270494234</v>
      </c>
      <c r="L1246" s="30">
        <v>5652.200000000037</v>
      </c>
      <c r="M1246" s="29">
        <v>7.63852591388756E7</v>
      </c>
      <c r="N1246" s="31" t="s">
        <v>1447</v>
      </c>
      <c r="O1246" s="32"/>
      <c r="P1246" s="33" t="str">
        <f t="array" ref="P1246">IFERROR(
HYPERLINK(
"https://drive.google.com/file/d/"&amp;
XLOOKUP(O1246,'Hoa-Don'!A:A,'Hoa-Don'!D:D)
&amp;"/view",
"🔎"
),
""
)</f>
        <v/>
      </c>
    </row>
    <row r="1247" ht="22.5" customHeight="1">
      <c r="A1247" s="21">
        <v>1246.0</v>
      </c>
      <c r="B1247" s="22">
        <v>46022.0</v>
      </c>
      <c r="C1247" s="23">
        <v>65.0</v>
      </c>
      <c r="D1247" s="24" t="s">
        <v>1232</v>
      </c>
      <c r="E1247" s="25" t="s">
        <v>11</v>
      </c>
      <c r="F1247" s="24" t="s">
        <v>1300</v>
      </c>
      <c r="G1247" s="36" t="s">
        <v>42</v>
      </c>
      <c r="H1247" s="28">
        <v>4995.6</v>
      </c>
      <c r="I1247" s="28">
        <v>16008.728827670884</v>
      </c>
      <c r="J1247" s="29">
        <v>7.997320573151268E7</v>
      </c>
      <c r="K1247" s="29">
        <v>16008.728827670884</v>
      </c>
      <c r="L1247" s="30">
        <v>12793.01999999998</v>
      </c>
      <c r="M1247" s="29">
        <v>2.0479998806696987E8</v>
      </c>
      <c r="N1247" s="31" t="s">
        <v>1448</v>
      </c>
      <c r="O1247" s="32"/>
      <c r="P1247" s="33" t="str">
        <f t="array" ref="P1247">IFERROR(
HYPERLINK(
"https://drive.google.com/file/d/"&amp;
XLOOKUP(O1247,'Hoa-Don'!A:A,'Hoa-Don'!D:D)
&amp;"/view",
"🔎"
),
""
)</f>
        <v/>
      </c>
    </row>
    <row r="1248" ht="22.5" customHeight="1">
      <c r="A1248" s="21">
        <v>1247.0</v>
      </c>
      <c r="B1248" s="22">
        <v>46030.0</v>
      </c>
      <c r="C1248" s="43">
        <v>60.0</v>
      </c>
      <c r="D1248" s="24" t="s">
        <v>1317</v>
      </c>
      <c r="E1248" s="37" t="s">
        <v>16</v>
      </c>
      <c r="F1248" s="24" t="s">
        <v>1449</v>
      </c>
      <c r="G1248" s="27" t="s">
        <v>38</v>
      </c>
      <c r="H1248" s="28">
        <v>189.35</v>
      </c>
      <c r="I1248" s="28">
        <v>14389.0</v>
      </c>
      <c r="J1248" s="29">
        <v>2724557.15</v>
      </c>
      <c r="K1248" s="29">
        <v>14984.553933335856</v>
      </c>
      <c r="L1248" s="30">
        <v>249.35999999999999</v>
      </c>
      <c r="M1248" s="29">
        <v>3736548.3688166286</v>
      </c>
      <c r="N1248" s="31" t="s">
        <v>1450</v>
      </c>
      <c r="O1248" s="44" t="s">
        <v>1451</v>
      </c>
      <c r="P1248" s="45" t="str">
        <f t="array" ref="P1248">IFERROR(
HYPERLINK(
"https://drive.google.com/file/d/"&amp;
XLOOKUP(O1248,'Hoa-Don'!A:A,'Hoa-Don'!D:D)
&amp;"/view",
"🔎"
),
""
)</f>
        <v>🔎</v>
      </c>
    </row>
    <row r="1249" ht="22.5" customHeight="1">
      <c r="A1249" s="21">
        <v>1248.0</v>
      </c>
      <c r="B1249" s="22">
        <v>46030.0</v>
      </c>
      <c r="C1249" s="43">
        <v>60.0</v>
      </c>
      <c r="D1249" s="24" t="s">
        <v>1317</v>
      </c>
      <c r="E1249" s="37" t="s">
        <v>16</v>
      </c>
      <c r="F1249" s="24" t="s">
        <v>1452</v>
      </c>
      <c r="G1249" s="27" t="s">
        <v>38</v>
      </c>
      <c r="H1249" s="28">
        <v>202.08</v>
      </c>
      <c r="I1249" s="28">
        <v>14389.0</v>
      </c>
      <c r="J1249" s="29">
        <v>2907729.12</v>
      </c>
      <c r="K1249" s="29">
        <v>14717.963602730437</v>
      </c>
      <c r="L1249" s="30">
        <v>451.44</v>
      </c>
      <c r="M1249" s="29">
        <v>6644277.488816628</v>
      </c>
      <c r="N1249" s="31" t="s">
        <v>1453</v>
      </c>
      <c r="O1249" s="44" t="s">
        <v>1451</v>
      </c>
      <c r="P1249" s="45" t="str">
        <f t="array" ref="P1249">IFERROR(
HYPERLINK(
"https://drive.google.com/file/d/"&amp;
XLOOKUP(O1249,'Hoa-Don'!A:A,'Hoa-Don'!D:D)
&amp;"/view",
"🔎"
),
""
)</f>
        <v>🔎</v>
      </c>
    </row>
    <row r="1250" ht="22.5" customHeight="1">
      <c r="A1250" s="21">
        <v>1249.0</v>
      </c>
      <c r="B1250" s="22">
        <v>46030.0</v>
      </c>
      <c r="C1250" s="43">
        <v>60.0</v>
      </c>
      <c r="D1250" s="24" t="s">
        <v>1317</v>
      </c>
      <c r="E1250" s="37" t="s">
        <v>16</v>
      </c>
      <c r="F1250" s="24" t="s">
        <v>1454</v>
      </c>
      <c r="G1250" s="27" t="s">
        <v>38</v>
      </c>
      <c r="H1250" s="28">
        <v>349.92</v>
      </c>
      <c r="I1250" s="28">
        <v>14389.0</v>
      </c>
      <c r="J1250" s="29">
        <v>5034998.88</v>
      </c>
      <c r="K1250" s="29">
        <v>14574.319118519303</v>
      </c>
      <c r="L1250" s="30">
        <v>801.36</v>
      </c>
      <c r="M1250" s="29">
        <v>1.1679276368816629E7</v>
      </c>
      <c r="N1250" s="31" t="s">
        <v>1455</v>
      </c>
      <c r="O1250" s="44" t="s">
        <v>1451</v>
      </c>
      <c r="P1250" s="45" t="str">
        <f t="array" ref="P1250">IFERROR(
HYPERLINK(
"https://drive.google.com/file/d/"&amp;
XLOOKUP(O1250,'Hoa-Don'!A:A,'Hoa-Don'!D:D)
&amp;"/view",
"🔎"
),
""
)</f>
        <v>🔎</v>
      </c>
    </row>
    <row r="1251" ht="22.5" customHeight="1">
      <c r="A1251" s="46">
        <v>1250.0</v>
      </c>
      <c r="B1251" s="47">
        <v>46030.0</v>
      </c>
      <c r="C1251" s="48">
        <v>1.0</v>
      </c>
      <c r="D1251" s="49" t="s">
        <v>1240</v>
      </c>
      <c r="E1251" s="50" t="s">
        <v>11</v>
      </c>
      <c r="F1251" s="49" t="s">
        <v>1300</v>
      </c>
      <c r="G1251" s="51" t="s">
        <v>42</v>
      </c>
      <c r="H1251" s="30">
        <v>289.99</v>
      </c>
      <c r="I1251" s="30">
        <v>16008.728827670884</v>
      </c>
      <c r="J1251" s="29">
        <v>4642371.27273628</v>
      </c>
      <c r="K1251" s="29">
        <v>16008.728827670884</v>
      </c>
      <c r="L1251" s="30">
        <v>12503.02999999998</v>
      </c>
      <c r="M1251" s="29">
        <v>2.001576167942336E8</v>
      </c>
      <c r="N1251" s="31" t="s">
        <v>1456</v>
      </c>
      <c r="O1251" s="32"/>
      <c r="P1251" s="33" t="str">
        <f t="array" ref="P1251">IFERROR(
HYPERLINK(
"https://drive.google.com/file/d/"&amp;
XLOOKUP(O1251,'Hoa-Don'!A:A,'Hoa-Don'!D:D)
&amp;"/view",
"🔎"
),
""
)</f>
        <v/>
      </c>
    </row>
    <row r="1252" ht="22.5" customHeight="1">
      <c r="A1252" s="46">
        <v>1251.0</v>
      </c>
      <c r="B1252" s="47">
        <v>46032.0</v>
      </c>
      <c r="C1252" s="52">
        <v>2.0</v>
      </c>
      <c r="D1252" s="49" t="s">
        <v>1439</v>
      </c>
      <c r="E1252" s="53" t="s">
        <v>16</v>
      </c>
      <c r="F1252" s="49" t="s">
        <v>1449</v>
      </c>
      <c r="G1252" s="51" t="s">
        <v>42</v>
      </c>
      <c r="H1252" s="30">
        <v>189.35</v>
      </c>
      <c r="I1252" s="30">
        <v>14574.319118519303</v>
      </c>
      <c r="J1252" s="29">
        <v>2759647.3250916298</v>
      </c>
      <c r="K1252" s="29">
        <v>14574.319118519303</v>
      </c>
      <c r="L1252" s="30">
        <v>612.01</v>
      </c>
      <c r="M1252" s="29">
        <v>8919629.043724999</v>
      </c>
      <c r="N1252" s="31" t="s">
        <v>1457</v>
      </c>
      <c r="O1252" s="32"/>
      <c r="P1252" s="33" t="str">
        <f t="array" ref="P1252">IFERROR(
HYPERLINK(
"https://drive.google.com/file/d/"&amp;
XLOOKUP(O1252,'Hoa-Don'!A:A,'Hoa-Don'!D:D)
&amp;"/view",
"🔎"
),
""
)</f>
        <v/>
      </c>
    </row>
    <row r="1253" ht="22.5" customHeight="1">
      <c r="A1253" s="46">
        <v>1252.0</v>
      </c>
      <c r="B1253" s="47">
        <v>46032.0</v>
      </c>
      <c r="C1253" s="52">
        <v>2.0</v>
      </c>
      <c r="D1253" s="49" t="s">
        <v>1439</v>
      </c>
      <c r="E1253" s="53" t="s">
        <v>16</v>
      </c>
      <c r="F1253" s="49" t="s">
        <v>1452</v>
      </c>
      <c r="G1253" s="51" t="s">
        <v>42</v>
      </c>
      <c r="H1253" s="30">
        <v>202.08</v>
      </c>
      <c r="I1253" s="30">
        <v>14574.319118519303</v>
      </c>
      <c r="J1253" s="29">
        <v>2945178.407470381</v>
      </c>
      <c r="K1253" s="29">
        <v>14574.319118519303</v>
      </c>
      <c r="L1253" s="30">
        <v>409.92999999999995</v>
      </c>
      <c r="M1253" s="29">
        <v>5974450.636254617</v>
      </c>
      <c r="N1253" s="31" t="s">
        <v>1458</v>
      </c>
      <c r="O1253" s="32"/>
      <c r="P1253" s="33" t="str">
        <f t="array" ref="P1253">IFERROR(
HYPERLINK(
"https://drive.google.com/file/d/"&amp;
XLOOKUP(O1253,'Hoa-Don'!A:A,'Hoa-Don'!D:D)
&amp;"/view",
"🔎"
),
""
)</f>
        <v/>
      </c>
    </row>
    <row r="1254" ht="22.5" customHeight="1">
      <c r="A1254" s="46">
        <v>1253.0</v>
      </c>
      <c r="B1254" s="47">
        <v>46032.0</v>
      </c>
      <c r="C1254" s="48">
        <v>2.0</v>
      </c>
      <c r="D1254" s="49" t="s">
        <v>1439</v>
      </c>
      <c r="E1254" s="53" t="s">
        <v>16</v>
      </c>
      <c r="F1254" s="49" t="s">
        <v>1454</v>
      </c>
      <c r="G1254" s="51" t="s">
        <v>42</v>
      </c>
      <c r="H1254" s="30">
        <v>349.92</v>
      </c>
      <c r="I1254" s="30">
        <v>14574.319118519303</v>
      </c>
      <c r="J1254" s="29">
        <v>5099845.745952275</v>
      </c>
      <c r="K1254" s="29">
        <v>14574.319118519303</v>
      </c>
      <c r="L1254" s="30">
        <v>60.009999999999934</v>
      </c>
      <c r="M1254" s="29">
        <v>874604.8903023424</v>
      </c>
      <c r="N1254" s="31" t="s">
        <v>1459</v>
      </c>
      <c r="O1254" s="32"/>
      <c r="P1254" s="33" t="str">
        <f t="array" ref="P1254">IFERROR(
HYPERLINK(
"https://drive.google.com/file/d/"&amp;
XLOOKUP(O1254,'Hoa-Don'!A:A,'Hoa-Don'!D:D)
&amp;"/view",
"🔎"
),
""
)</f>
        <v/>
      </c>
    </row>
    <row r="1255" ht="22.5" customHeight="1">
      <c r="A1255" s="46">
        <v>1254.0</v>
      </c>
      <c r="B1255" s="47">
        <v>46034.0</v>
      </c>
      <c r="C1255" s="48">
        <v>86.0</v>
      </c>
      <c r="D1255" s="24" t="s">
        <v>1317</v>
      </c>
      <c r="E1255" s="54" t="s">
        <v>13</v>
      </c>
      <c r="F1255" s="49" t="s">
        <v>1460</v>
      </c>
      <c r="G1255" s="55" t="s">
        <v>38</v>
      </c>
      <c r="H1255" s="30">
        <v>297.0</v>
      </c>
      <c r="I1255" s="30">
        <v>16000.0</v>
      </c>
      <c r="J1255" s="29">
        <v>4752000.0</v>
      </c>
      <c r="K1255" s="29">
        <v>15860.729310383562</v>
      </c>
      <c r="L1255" s="30">
        <v>381.66999999999996</v>
      </c>
      <c r="M1255" s="29">
        <v>6053564.555894094</v>
      </c>
      <c r="N1255" s="31" t="s">
        <v>1461</v>
      </c>
      <c r="O1255" s="44" t="s">
        <v>1462</v>
      </c>
      <c r="P1255" s="45" t="str">
        <f t="array" ref="P1255">IFERROR(
HYPERLINK(
"https://drive.google.com/file/d/"&amp;
XLOOKUP(O1255,'Hoa-Don'!A:A,'Hoa-Don'!D:D)
&amp;"/view",
"🔎"
),
""
)</f>
        <v>🔎</v>
      </c>
    </row>
    <row r="1256" ht="22.5" customHeight="1">
      <c r="A1256" s="46">
        <v>1255.0</v>
      </c>
      <c r="B1256" s="47">
        <v>46034.0</v>
      </c>
      <c r="C1256" s="48">
        <v>6.0</v>
      </c>
      <c r="D1256" s="49" t="s">
        <v>1379</v>
      </c>
      <c r="E1256" s="56" t="s">
        <v>20</v>
      </c>
      <c r="F1256" s="49" t="s">
        <v>1380</v>
      </c>
      <c r="G1256" s="55" t="s">
        <v>38</v>
      </c>
      <c r="H1256" s="30">
        <v>2040.8</v>
      </c>
      <c r="I1256" s="30">
        <v>24500.0</v>
      </c>
      <c r="J1256" s="29">
        <v>4.99996E7</v>
      </c>
      <c r="K1256" s="29">
        <v>24500.0</v>
      </c>
      <c r="L1256" s="30">
        <v>2040.8</v>
      </c>
      <c r="M1256" s="29">
        <v>4.99996E7</v>
      </c>
      <c r="N1256" s="31" t="s">
        <v>1463</v>
      </c>
      <c r="O1256" s="44" t="s">
        <v>1464</v>
      </c>
      <c r="P1256" s="45" t="str">
        <f t="array" ref="P1256">IFERROR(
HYPERLINK(
"https://drive.google.com/file/d/"&amp;
XLOOKUP(O1256,'Hoa-Don'!A:A,'Hoa-Don'!D:D)
&amp;"/view",
"🔎"
),
""
)</f>
        <v>🔎</v>
      </c>
    </row>
    <row r="1257" ht="22.5" customHeight="1">
      <c r="A1257" s="46">
        <v>1256.0</v>
      </c>
      <c r="B1257" s="47">
        <v>46034.0</v>
      </c>
      <c r="C1257" s="48">
        <v>3.0</v>
      </c>
      <c r="D1257" s="49" t="s">
        <v>1232</v>
      </c>
      <c r="E1257" s="56" t="s">
        <v>20</v>
      </c>
      <c r="F1257" s="49" t="s">
        <v>1380</v>
      </c>
      <c r="G1257" s="51" t="s">
        <v>42</v>
      </c>
      <c r="H1257" s="30">
        <v>2040.8</v>
      </c>
      <c r="I1257" s="30">
        <v>24500.0</v>
      </c>
      <c r="J1257" s="29">
        <v>4.99996E7</v>
      </c>
      <c r="K1257" s="29">
        <v>0.0</v>
      </c>
      <c r="L1257" s="30">
        <v>0.0</v>
      </c>
      <c r="M1257" s="29">
        <v>0.0</v>
      </c>
      <c r="N1257" s="31" t="s">
        <v>1465</v>
      </c>
      <c r="O1257" s="32"/>
      <c r="P1257" s="33" t="str">
        <f t="array" ref="P1257">IFERROR(
HYPERLINK(
"https://drive.google.com/file/d/"&amp;
XLOOKUP(O1257,'Hoa-Don'!A:A,'Hoa-Don'!D:D)
&amp;"/view",
"🔎"
),
""
)</f>
        <v/>
      </c>
    </row>
    <row r="1258" ht="22.5" customHeight="1">
      <c r="A1258" s="46">
        <v>1257.0</v>
      </c>
      <c r="B1258" s="47">
        <v>46037.0</v>
      </c>
      <c r="C1258" s="48">
        <v>5.0</v>
      </c>
      <c r="D1258" s="49" t="s">
        <v>1232</v>
      </c>
      <c r="E1258" s="57" t="s">
        <v>18</v>
      </c>
      <c r="F1258" s="49" t="s">
        <v>1291</v>
      </c>
      <c r="G1258" s="51" t="s">
        <v>42</v>
      </c>
      <c r="H1258" s="30">
        <v>1901.13</v>
      </c>
      <c r="I1258" s="30">
        <v>13514.25270494234</v>
      </c>
      <c r="J1258" s="29">
        <v>2.5692351244947035E7</v>
      </c>
      <c r="K1258" s="29">
        <v>13514.25270494234</v>
      </c>
      <c r="L1258" s="30">
        <v>3751.070000000037</v>
      </c>
      <c r="M1258" s="29">
        <v>5.0692907893928565E7</v>
      </c>
      <c r="N1258" s="31" t="s">
        <v>1466</v>
      </c>
      <c r="O1258" s="32"/>
      <c r="P1258" s="33" t="str">
        <f t="array" ref="P1258">IFERROR(
HYPERLINK(
"https://drive.google.com/file/d/"&amp;
XLOOKUP(O1258,'Hoa-Don'!A:A,'Hoa-Don'!D:D)
&amp;"/view",
"🔎"
),
""
)</f>
        <v/>
      </c>
    </row>
    <row r="1259" ht="22.5" customHeight="1">
      <c r="A1259" s="46">
        <v>1258.0</v>
      </c>
      <c r="B1259" s="47">
        <v>46037.0</v>
      </c>
      <c r="C1259" s="48">
        <v>5.0</v>
      </c>
      <c r="D1259" s="49" t="s">
        <v>1232</v>
      </c>
      <c r="E1259" s="50" t="s">
        <v>11</v>
      </c>
      <c r="F1259" s="49" t="s">
        <v>1300</v>
      </c>
      <c r="G1259" s="51" t="s">
        <v>42</v>
      </c>
      <c r="H1259" s="30">
        <v>2756.92</v>
      </c>
      <c r="I1259" s="30">
        <v>16008.728827670884</v>
      </c>
      <c r="J1259" s="29">
        <v>4.413478467958242E7</v>
      </c>
      <c r="K1259" s="29">
        <v>16008.728827670884</v>
      </c>
      <c r="L1259" s="30">
        <v>9746.10999999998</v>
      </c>
      <c r="M1259" s="29">
        <v>1.5602283211465117E8</v>
      </c>
      <c r="N1259" s="31" t="s">
        <v>1467</v>
      </c>
      <c r="O1259" s="32"/>
      <c r="P1259" s="33" t="str">
        <f t="array" ref="P1259">IFERROR(
HYPERLINK(
"https://drive.google.com/file/d/"&amp;
XLOOKUP(O1259,'Hoa-Don'!A:A,'Hoa-Don'!D:D)
&amp;"/view",
"🔎"
),
""
)</f>
        <v/>
      </c>
    </row>
    <row r="1260" ht="22.5" customHeight="1">
      <c r="A1260" s="46">
        <v>1259.0</v>
      </c>
      <c r="B1260" s="47">
        <v>46037.0</v>
      </c>
      <c r="C1260" s="48">
        <v>4.0</v>
      </c>
      <c r="D1260" s="49" t="s">
        <v>1349</v>
      </c>
      <c r="E1260" s="50" t="s">
        <v>11</v>
      </c>
      <c r="F1260" s="49" t="s">
        <v>1369</v>
      </c>
      <c r="G1260" s="51" t="s">
        <v>42</v>
      </c>
      <c r="H1260" s="30">
        <v>674.85</v>
      </c>
      <c r="I1260" s="30">
        <v>16008.728827670884</v>
      </c>
      <c r="J1260" s="29">
        <v>1.0803490649353696E7</v>
      </c>
      <c r="K1260" s="29">
        <v>16008.728827670884</v>
      </c>
      <c r="L1260" s="30">
        <v>9071.25999999998</v>
      </c>
      <c r="M1260" s="29">
        <v>1.4521934146529746E8</v>
      </c>
      <c r="N1260" s="31" t="s">
        <v>1468</v>
      </c>
      <c r="O1260" s="32"/>
      <c r="P1260" s="33" t="str">
        <f t="array" ref="P1260">IFERROR(
HYPERLINK(
"https://drive.google.com/file/d/"&amp;
XLOOKUP(O1260,'Hoa-Don'!A:A,'Hoa-Don'!D:D)
&amp;"/view",
"🔎"
),
""
)</f>
        <v/>
      </c>
    </row>
    <row r="1261" ht="22.5" customHeight="1">
      <c r="A1261" s="46">
        <v>1260.0</v>
      </c>
      <c r="B1261" s="47">
        <v>46041.0</v>
      </c>
      <c r="C1261" s="48">
        <v>6.0</v>
      </c>
      <c r="D1261" s="49" t="s">
        <v>1329</v>
      </c>
      <c r="E1261" s="50" t="s">
        <v>11</v>
      </c>
      <c r="F1261" s="49" t="s">
        <v>1259</v>
      </c>
      <c r="G1261" s="51" t="s">
        <v>42</v>
      </c>
      <c r="H1261" s="30">
        <v>8608.06</v>
      </c>
      <c r="I1261" s="30">
        <v>16008.728827670884</v>
      </c>
      <c r="J1261" s="29">
        <v>1.3780409827232063E8</v>
      </c>
      <c r="K1261" s="29">
        <v>16008.728827670884</v>
      </c>
      <c r="L1261" s="30">
        <v>463.1999999999807</v>
      </c>
      <c r="M1261" s="29">
        <v>7415243.1929768445</v>
      </c>
      <c r="N1261" s="31" t="s">
        <v>1469</v>
      </c>
      <c r="O1261" s="32"/>
      <c r="P1261" s="33" t="str">
        <f t="array" ref="P1261">IFERROR(
HYPERLINK(
"https://drive.google.com/file/d/"&amp;
XLOOKUP(O1261,'Hoa-Don'!A:A,'Hoa-Don'!D:D)
&amp;"/view",
"🔎"
),
""
)</f>
        <v/>
      </c>
    </row>
    <row r="1262" ht="22.5" customHeight="1">
      <c r="A1262" s="46">
        <v>1261.0</v>
      </c>
      <c r="B1262" s="47">
        <v>46051.0</v>
      </c>
      <c r="C1262" s="52">
        <v>702.0</v>
      </c>
      <c r="D1262" s="24" t="s">
        <v>86</v>
      </c>
      <c r="E1262" s="58" t="s">
        <v>18</v>
      </c>
      <c r="F1262" s="49" t="s">
        <v>1470</v>
      </c>
      <c r="G1262" s="55" t="s">
        <v>38</v>
      </c>
      <c r="H1262" s="30">
        <v>1895.0</v>
      </c>
      <c r="I1262" s="30">
        <v>14272.72</v>
      </c>
      <c r="J1262" s="29">
        <v>2.70468044E7</v>
      </c>
      <c r="K1262" s="29">
        <v>13768.818362848504</v>
      </c>
      <c r="L1262" s="30">
        <v>5646.070000000037</v>
      </c>
      <c r="M1262" s="29">
        <v>7.773971229392856E7</v>
      </c>
      <c r="N1262" s="31" t="s">
        <v>1471</v>
      </c>
      <c r="O1262" s="32"/>
      <c r="P1262" s="33" t="str">
        <f t="array" ref="P1262">IFERROR(
HYPERLINK(
"https://drive.google.com/file/d/"&amp;
XLOOKUP(O1262,'Hoa-Don'!A:A,'Hoa-Don'!D:D)
&amp;"/view",
"🔎"
),
""
)</f>
        <v/>
      </c>
    </row>
    <row r="1263" ht="22.5" customHeight="1">
      <c r="A1263" s="46">
        <v>1262.0</v>
      </c>
      <c r="B1263" s="47">
        <v>46051.0</v>
      </c>
      <c r="C1263" s="52">
        <v>702.0</v>
      </c>
      <c r="D1263" s="24" t="s">
        <v>86</v>
      </c>
      <c r="E1263" s="58" t="s">
        <v>18</v>
      </c>
      <c r="F1263" s="49" t="s">
        <v>1427</v>
      </c>
      <c r="G1263" s="55" t="s">
        <v>38</v>
      </c>
      <c r="H1263" s="30">
        <v>2769.0</v>
      </c>
      <c r="I1263" s="30">
        <v>13636.36</v>
      </c>
      <c r="J1263" s="29">
        <v>3.775908084E7</v>
      </c>
      <c r="K1263" s="29">
        <v>13725.232604592484</v>
      </c>
      <c r="L1263" s="30">
        <v>8415.070000000036</v>
      </c>
      <c r="M1263" s="29">
        <v>1.1549879313392857E8</v>
      </c>
      <c r="N1263" s="31" t="s">
        <v>1472</v>
      </c>
      <c r="O1263" s="32"/>
      <c r="P1263" s="33" t="str">
        <f t="array" ref="P1263">IFERROR(
HYPERLINK(
"https://drive.google.com/file/d/"&amp;
XLOOKUP(O1263,'Hoa-Don'!A:A,'Hoa-Don'!D:D)
&amp;"/view",
"🔎"
),
""
)</f>
        <v/>
      </c>
    </row>
    <row r="1264" ht="22.5" customHeight="1">
      <c r="A1264" s="46">
        <v>1263.0</v>
      </c>
      <c r="B1264" s="47">
        <v>46051.0</v>
      </c>
      <c r="C1264" s="52">
        <v>702.0</v>
      </c>
      <c r="D1264" s="24" t="s">
        <v>86</v>
      </c>
      <c r="E1264" s="58" t="s">
        <v>18</v>
      </c>
      <c r="F1264" s="49" t="s">
        <v>1429</v>
      </c>
      <c r="G1264" s="55" t="s">
        <v>38</v>
      </c>
      <c r="H1264" s="30">
        <v>3724.0</v>
      </c>
      <c r="I1264" s="30">
        <v>13636.36</v>
      </c>
      <c r="J1264" s="29">
        <v>5.078180464E7</v>
      </c>
      <c r="K1264" s="29">
        <v>13697.968441892837</v>
      </c>
      <c r="L1264" s="30">
        <v>12139.070000000036</v>
      </c>
      <c r="M1264" s="29">
        <v>1.6628059777392858E8</v>
      </c>
      <c r="N1264" s="31" t="s">
        <v>1473</v>
      </c>
      <c r="O1264" s="32"/>
      <c r="P1264" s="33" t="str">
        <f t="array" ref="P1264">IFERROR(
HYPERLINK(
"https://drive.google.com/file/d/"&amp;
XLOOKUP(O1264,'Hoa-Don'!A:A,'Hoa-Don'!D:D)
&amp;"/view",
"🔎"
),
""
)</f>
        <v/>
      </c>
    </row>
    <row r="1265" ht="22.5" customHeight="1">
      <c r="A1265" s="46">
        <v>1264.0</v>
      </c>
      <c r="B1265" s="47">
        <v>46051.0</v>
      </c>
      <c r="C1265" s="52">
        <v>702.0</v>
      </c>
      <c r="D1265" s="24" t="s">
        <v>86</v>
      </c>
      <c r="E1265" s="58" t="s">
        <v>18</v>
      </c>
      <c r="F1265" s="49" t="s">
        <v>1474</v>
      </c>
      <c r="G1265" s="55" t="s">
        <v>38</v>
      </c>
      <c r="H1265" s="30">
        <v>1862.0</v>
      </c>
      <c r="I1265" s="30">
        <v>13636.36</v>
      </c>
      <c r="J1265" s="29">
        <v>2.539090232E7</v>
      </c>
      <c r="K1265" s="29">
        <v>13689.775145323041</v>
      </c>
      <c r="L1265" s="30">
        <v>14001.070000000036</v>
      </c>
      <c r="M1265" s="29">
        <v>1.9167150009392858E8</v>
      </c>
      <c r="N1265" s="31" t="s">
        <v>1475</v>
      </c>
      <c r="O1265" s="32"/>
      <c r="P1265" s="33" t="str">
        <f t="array" ref="P1265">IFERROR(
HYPERLINK(
"https://drive.google.com/file/d/"&amp;
XLOOKUP(O1265,'Hoa-Don'!A:A,'Hoa-Don'!D:D)
&amp;"/view",
"🔎"
),
""
)</f>
        <v/>
      </c>
    </row>
    <row r="1266" ht="22.5" customHeight="1">
      <c r="A1266" s="46">
        <v>1265.0</v>
      </c>
      <c r="B1266" s="47">
        <v>46051.0</v>
      </c>
      <c r="C1266" s="48">
        <v>7.0</v>
      </c>
      <c r="D1266" s="49" t="s">
        <v>1353</v>
      </c>
      <c r="E1266" s="58" t="s">
        <v>18</v>
      </c>
      <c r="F1266" s="49" t="s">
        <v>1291</v>
      </c>
      <c r="G1266" s="51" t="s">
        <v>42</v>
      </c>
      <c r="H1266" s="30">
        <v>292.0</v>
      </c>
      <c r="I1266" s="30">
        <v>13689.775145323041</v>
      </c>
      <c r="J1266" s="29">
        <v>3997414.342434328</v>
      </c>
      <c r="K1266" s="29">
        <v>13689.775145323041</v>
      </c>
      <c r="L1266" s="30">
        <v>13709.070000000036</v>
      </c>
      <c r="M1266" s="29">
        <v>1.8767408575149423E8</v>
      </c>
      <c r="N1266" s="31" t="s">
        <v>1476</v>
      </c>
      <c r="O1266" s="32"/>
      <c r="P1266" s="33" t="str">
        <f t="array" ref="P1266">IFERROR(
HYPERLINK(
"https://drive.google.com/file/d/"&amp;
XLOOKUP(O1266,'Hoa-Don'!A:A,'Hoa-Don'!D:D)
&amp;"/view",
"🔎"
),
""
)</f>
        <v/>
      </c>
    </row>
    <row r="1267" ht="22.5" customHeight="1">
      <c r="A1267" s="46">
        <v>1266.0</v>
      </c>
      <c r="B1267" s="47">
        <v>46054.0</v>
      </c>
      <c r="C1267" s="48">
        <v>8.0</v>
      </c>
      <c r="D1267" s="49" t="s">
        <v>1232</v>
      </c>
      <c r="E1267" s="58" t="s">
        <v>18</v>
      </c>
      <c r="F1267" s="49" t="s">
        <v>1470</v>
      </c>
      <c r="G1267" s="51" t="s">
        <v>42</v>
      </c>
      <c r="H1267" s="30">
        <v>1895.0</v>
      </c>
      <c r="I1267" s="30">
        <v>13689.775145323041</v>
      </c>
      <c r="J1267" s="29">
        <v>2.5942123900387164E7</v>
      </c>
      <c r="K1267" s="29">
        <v>13689.775145323041</v>
      </c>
      <c r="L1267" s="30">
        <v>11814.070000000036</v>
      </c>
      <c r="M1267" s="29">
        <v>1.6173196185110706E8</v>
      </c>
      <c r="N1267" s="31" t="s">
        <v>1477</v>
      </c>
      <c r="O1267" s="32"/>
      <c r="P1267" s="33" t="str">
        <f t="array" ref="P1267">IFERROR(
HYPERLINK(
"https://drive.google.com/file/d/"&amp;
XLOOKUP(O1267,'Hoa-Don'!A:A,'Hoa-Don'!D:D)
&amp;"/view",
"🔎"
),
""
)</f>
        <v/>
      </c>
    </row>
    <row r="1268" ht="22.5" customHeight="1">
      <c r="A1268" s="46">
        <v>1267.0</v>
      </c>
      <c r="B1268" s="47">
        <v>46054.0</v>
      </c>
      <c r="C1268" s="48">
        <v>8.0</v>
      </c>
      <c r="D1268" s="49" t="s">
        <v>1232</v>
      </c>
      <c r="E1268" s="58" t="s">
        <v>18</v>
      </c>
      <c r="F1268" s="49" t="s">
        <v>1429</v>
      </c>
      <c r="G1268" s="51" t="s">
        <v>42</v>
      </c>
      <c r="H1268" s="30">
        <v>3724.0</v>
      </c>
      <c r="I1268" s="30">
        <v>13689.775145323041</v>
      </c>
      <c r="J1268" s="29">
        <v>5.0980722641183004E7</v>
      </c>
      <c r="K1268" s="29">
        <v>13689.775145323041</v>
      </c>
      <c r="L1268" s="30">
        <v>8090.070000000036</v>
      </c>
      <c r="M1268" s="29">
        <v>1.1075123920992407E8</v>
      </c>
      <c r="N1268" s="31" t="s">
        <v>1478</v>
      </c>
      <c r="O1268" s="32"/>
      <c r="P1268" s="33" t="str">
        <f t="array" ref="P1268">IFERROR(
HYPERLINK(
"https://drive.google.com/file/d/"&amp;
XLOOKUP(O1268,'Hoa-Don'!A:A,'Hoa-Don'!D:D)
&amp;"/view",
"🔎"
),
""
)</f>
        <v/>
      </c>
    </row>
    <row r="1269" ht="22.5" customHeight="1">
      <c r="A1269" s="46">
        <v>1268.0</v>
      </c>
      <c r="B1269" s="47">
        <v>46062.0</v>
      </c>
      <c r="C1269" s="48">
        <v>40.0</v>
      </c>
      <c r="D1269" s="49" t="s">
        <v>1379</v>
      </c>
      <c r="E1269" s="56" t="s">
        <v>20</v>
      </c>
      <c r="F1269" s="49" t="s">
        <v>1479</v>
      </c>
      <c r="G1269" s="55" t="s">
        <v>38</v>
      </c>
      <c r="H1269" s="30">
        <v>480.0</v>
      </c>
      <c r="I1269" s="30">
        <v>95000.0</v>
      </c>
      <c r="J1269" s="29">
        <v>4.56E7</v>
      </c>
      <c r="K1269" s="29">
        <v>95000.0</v>
      </c>
      <c r="L1269" s="30">
        <v>480.0</v>
      </c>
      <c r="M1269" s="29">
        <v>4.56E7</v>
      </c>
      <c r="N1269" s="31" t="s">
        <v>1480</v>
      </c>
      <c r="O1269" s="44" t="s">
        <v>1481</v>
      </c>
      <c r="P1269" s="45" t="str">
        <f t="array" ref="P1269">IFERROR(
HYPERLINK(
"https://drive.google.com/file/d/"&amp;
XLOOKUP(O1269,'Hoa-Don'!A:A,'Hoa-Don'!D:D)
&amp;"/view",
"🔎"
),
""
)</f>
        <v>🔎</v>
      </c>
    </row>
    <row r="1270" ht="22.5" customHeight="1">
      <c r="A1270" s="46">
        <v>1269.0</v>
      </c>
      <c r="B1270" s="47">
        <v>46062.0</v>
      </c>
      <c r="C1270" s="48">
        <v>9.0</v>
      </c>
      <c r="D1270" s="49" t="s">
        <v>1482</v>
      </c>
      <c r="E1270" s="59" t="s">
        <v>6</v>
      </c>
      <c r="F1270" s="49" t="s">
        <v>1367</v>
      </c>
      <c r="G1270" s="51" t="s">
        <v>42</v>
      </c>
      <c r="H1270" s="30">
        <v>2151.36</v>
      </c>
      <c r="I1270" s="30">
        <v>18909.09</v>
      </c>
      <c r="J1270" s="29">
        <v>4.06802598624E7</v>
      </c>
      <c r="K1270" s="29">
        <v>0.0</v>
      </c>
      <c r="L1270" s="30">
        <v>0.0</v>
      </c>
      <c r="M1270" s="29">
        <v>0.0</v>
      </c>
      <c r="N1270" s="31" t="s">
        <v>1483</v>
      </c>
      <c r="O1270" s="32"/>
      <c r="P1270" s="33" t="str">
        <f t="array" ref="P1270">IFERROR(
HYPERLINK(
"https://drive.google.com/file/d/"&amp;
XLOOKUP(O1270,'Hoa-Don'!A:A,'Hoa-Don'!D:D)
&amp;"/view",
"🔎"
),
""
)</f>
        <v/>
      </c>
    </row>
    <row r="1271" ht="22.5" customHeight="1">
      <c r="A1271" s="46">
        <v>1270.0</v>
      </c>
      <c r="B1271" s="47">
        <v>46062.0</v>
      </c>
      <c r="C1271" s="48">
        <v>10.0</v>
      </c>
      <c r="D1271" s="49" t="s">
        <v>1482</v>
      </c>
      <c r="E1271" s="56" t="s">
        <v>20</v>
      </c>
      <c r="F1271" s="49" t="s">
        <v>1479</v>
      </c>
      <c r="G1271" s="51" t="s">
        <v>42</v>
      </c>
      <c r="H1271" s="30">
        <v>480.0</v>
      </c>
      <c r="I1271" s="30">
        <v>95000.0</v>
      </c>
      <c r="J1271" s="29">
        <v>4.56E7</v>
      </c>
      <c r="K1271" s="29">
        <v>0.0</v>
      </c>
      <c r="L1271" s="30">
        <v>0.0</v>
      </c>
      <c r="M1271" s="29">
        <v>0.0</v>
      </c>
      <c r="N1271" s="31" t="s">
        <v>1484</v>
      </c>
      <c r="O1271" s="32"/>
      <c r="P1271" s="33" t="str">
        <f t="array" ref="P1271">IFERROR(
HYPERLINK(
"https://drive.google.com/file/d/"&amp;
XLOOKUP(O1271,'Hoa-Don'!A:A,'Hoa-Don'!D:D)
&amp;"/view",
"🔎"
),
""
)</f>
        <v/>
      </c>
    </row>
    <row r="1272" ht="22.5" customHeight="1">
      <c r="A1272" s="46">
        <v>1271.0</v>
      </c>
      <c r="B1272" s="47">
        <v>46064.0</v>
      </c>
      <c r="C1272" s="48">
        <v>11.0</v>
      </c>
      <c r="D1272" s="49" t="s">
        <v>1238</v>
      </c>
      <c r="E1272" s="58" t="s">
        <v>18</v>
      </c>
      <c r="F1272" s="49" t="s">
        <v>1485</v>
      </c>
      <c r="G1272" s="51" t="s">
        <v>42</v>
      </c>
      <c r="H1272" s="30">
        <v>814.0</v>
      </c>
      <c r="I1272" s="30">
        <v>13689.775145323041</v>
      </c>
      <c r="J1272" s="29">
        <v>1.1143476968292955E7</v>
      </c>
      <c r="K1272" s="29">
        <v>13689.775145323041</v>
      </c>
      <c r="L1272" s="30">
        <v>7276.070000000036</v>
      </c>
      <c r="M1272" s="29">
        <v>9.960776224163112E7</v>
      </c>
      <c r="N1272" s="31" t="s">
        <v>1486</v>
      </c>
      <c r="O1272" s="32"/>
      <c r="P1272" s="33" t="str">
        <f t="array" ref="P1272">IFERROR(
HYPERLINK(
"https://drive.google.com/file/d/"&amp;
XLOOKUP(O1272,'Hoa-Don'!A:A,'Hoa-Don'!D:D)
&amp;"/view",
"🔎"
),
""
)</f>
        <v/>
      </c>
    </row>
    <row r="1273" ht="22.5" customHeight="1">
      <c r="A1273" s="46">
        <v>1272.0</v>
      </c>
      <c r="B1273" s="47">
        <v>46065.0</v>
      </c>
      <c r="C1273" s="48">
        <v>30.0</v>
      </c>
      <c r="D1273" s="49" t="s">
        <v>37</v>
      </c>
      <c r="E1273" s="50" t="s">
        <v>11</v>
      </c>
      <c r="F1273" s="49" t="s">
        <v>1487</v>
      </c>
      <c r="G1273" s="55" t="s">
        <v>38</v>
      </c>
      <c r="H1273" s="30">
        <v>615.0</v>
      </c>
      <c r="I1273" s="30">
        <v>14418.18</v>
      </c>
      <c r="J1273" s="29">
        <v>8867180.7</v>
      </c>
      <c r="K1273" s="29">
        <v>15101.487565365549</v>
      </c>
      <c r="L1273" s="30">
        <v>1078.1999999999807</v>
      </c>
      <c r="M1273" s="29">
        <v>1.6282423892976843E7</v>
      </c>
      <c r="N1273" s="31" t="s">
        <v>1488</v>
      </c>
      <c r="O1273" s="44" t="s">
        <v>1489</v>
      </c>
      <c r="P1273" s="60" t="str">
        <f t="array" ref="P1273">IFERROR(
HYPERLINK(
"https://drive.google.com/file/d/"&amp;
XLOOKUP(O1273,'Hoa-Don'!A:A,'Hoa-Don'!D:D)
&amp;"/view",
"🔎"
),
""
)</f>
        <v>🔎</v>
      </c>
    </row>
    <row r="1274" ht="22.5" customHeight="1">
      <c r="A1274" s="46">
        <v>1273.0</v>
      </c>
      <c r="B1274" s="47">
        <v>46065.0</v>
      </c>
      <c r="C1274" s="48">
        <v>12.0</v>
      </c>
      <c r="D1274" s="49" t="s">
        <v>1349</v>
      </c>
      <c r="E1274" s="50" t="s">
        <v>11</v>
      </c>
      <c r="F1274" s="49" t="s">
        <v>1259</v>
      </c>
      <c r="G1274" s="51" t="s">
        <v>42</v>
      </c>
      <c r="H1274" s="30">
        <v>793.87</v>
      </c>
      <c r="I1274" s="30">
        <v>15101.487565365549</v>
      </c>
      <c r="J1274" s="29">
        <v>1.1988617933516748E7</v>
      </c>
      <c r="K1274" s="29">
        <v>15101.487565365549</v>
      </c>
      <c r="L1274" s="30">
        <v>284.3299999999807</v>
      </c>
      <c r="M1274" s="29">
        <v>4293805.9594600955</v>
      </c>
      <c r="N1274" s="31" t="s">
        <v>1490</v>
      </c>
      <c r="O1274" s="32"/>
      <c r="P1274" s="33" t="str">
        <f t="array" ref="P1274">IFERROR(
HYPERLINK(
"https://drive.google.com/file/d/"&amp;
XLOOKUP(O1274,'Hoa-Don'!A:A,'Hoa-Don'!D:D)
&amp;"/view",
"🔎"
),
""
)</f>
        <v/>
      </c>
    </row>
    <row r="1275" ht="22.5" customHeight="1">
      <c r="A1275" s="46">
        <v>1274.0</v>
      </c>
      <c r="B1275" s="47">
        <v>46090.0</v>
      </c>
      <c r="C1275" s="48">
        <v>1437.0</v>
      </c>
      <c r="D1275" s="24" t="s">
        <v>86</v>
      </c>
      <c r="E1275" s="50" t="s">
        <v>11</v>
      </c>
      <c r="F1275" s="49" t="s">
        <v>1491</v>
      </c>
      <c r="G1275" s="55" t="s">
        <v>38</v>
      </c>
      <c r="H1275" s="30">
        <v>910.0</v>
      </c>
      <c r="I1275" s="30">
        <v>14363.64</v>
      </c>
      <c r="J1275" s="29">
        <v>1.30709124E7</v>
      </c>
      <c r="K1275" s="29">
        <v>14539.296810312373</v>
      </c>
      <c r="L1275" s="30">
        <v>1194.3299999999808</v>
      </c>
      <c r="M1275" s="29">
        <v>1.7364718359460097E7</v>
      </c>
      <c r="N1275" s="31" t="s">
        <v>1492</v>
      </c>
      <c r="O1275" s="32"/>
      <c r="P1275" s="33" t="str">
        <f t="array" ref="P1275">IFERROR(
HYPERLINK(
"https://drive.google.com/file/d/"&amp;
XLOOKUP(O1275,'Hoa-Don'!A:A,'Hoa-Don'!D:D)
&amp;"/view",
"🔎"
),
""
)</f>
        <v/>
      </c>
    </row>
    <row r="1276" ht="22.5" customHeight="1">
      <c r="A1276" s="46">
        <v>1275.0</v>
      </c>
      <c r="B1276" s="47">
        <v>46090.0</v>
      </c>
      <c r="C1276" s="48">
        <v>1437.0</v>
      </c>
      <c r="D1276" s="24" t="s">
        <v>86</v>
      </c>
      <c r="E1276" s="50" t="s">
        <v>11</v>
      </c>
      <c r="F1276" s="49" t="s">
        <v>1493</v>
      </c>
      <c r="G1276" s="55" t="s">
        <v>38</v>
      </c>
      <c r="H1276" s="30">
        <v>750.0</v>
      </c>
      <c r="I1276" s="30">
        <v>15636.36</v>
      </c>
      <c r="J1276" s="29">
        <v>1.172727E7</v>
      </c>
      <c r="K1276" s="29">
        <v>14962.474661945444</v>
      </c>
      <c r="L1276" s="30">
        <v>1944.3299999999808</v>
      </c>
      <c r="M1276" s="29">
        <v>2.9091988359460097E7</v>
      </c>
      <c r="N1276" s="31" t="s">
        <v>1494</v>
      </c>
      <c r="O1276" s="32"/>
      <c r="P1276" s="33" t="str">
        <f t="array" ref="P1276">IFERROR(
HYPERLINK(
"https://drive.google.com/file/d/"&amp;
XLOOKUP(O1276,'Hoa-Don'!A:A,'Hoa-Don'!D:D)
&amp;"/view",
"🔎"
),
""
)</f>
        <v/>
      </c>
    </row>
    <row r="1277" ht="22.5" customHeight="1">
      <c r="A1277" s="46">
        <v>1276.0</v>
      </c>
      <c r="B1277" s="47">
        <v>46090.0</v>
      </c>
      <c r="C1277" s="48">
        <v>1437.0</v>
      </c>
      <c r="D1277" s="24" t="s">
        <v>86</v>
      </c>
      <c r="E1277" s="50" t="s">
        <v>11</v>
      </c>
      <c r="F1277" s="49" t="s">
        <v>1495</v>
      </c>
      <c r="G1277" s="55" t="s">
        <v>38</v>
      </c>
      <c r="H1277" s="30">
        <v>672.0</v>
      </c>
      <c r="I1277" s="30">
        <v>14363.63</v>
      </c>
      <c r="J1277" s="29">
        <v>9652359.36</v>
      </c>
      <c r="K1277" s="29">
        <v>14808.662408587748</v>
      </c>
      <c r="L1277" s="30">
        <v>2616.329999999981</v>
      </c>
      <c r="M1277" s="29">
        <v>3.87443477194601E7</v>
      </c>
      <c r="N1277" s="31" t="s">
        <v>1496</v>
      </c>
      <c r="O1277" s="32"/>
      <c r="P1277" s="33" t="str">
        <f t="array" ref="P1277">IFERROR(
HYPERLINK(
"https://drive.google.com/file/d/"&amp;
XLOOKUP(O1277,'Hoa-Don'!A:A,'Hoa-Don'!D:D)
&amp;"/view",
"🔎"
),
""
)</f>
        <v/>
      </c>
    </row>
    <row r="1278" ht="22.5" customHeight="1">
      <c r="A1278" s="46">
        <v>1277.0</v>
      </c>
      <c r="B1278" s="47">
        <v>46090.0</v>
      </c>
      <c r="C1278" s="48">
        <v>1437.0</v>
      </c>
      <c r="D1278" s="24" t="s">
        <v>86</v>
      </c>
      <c r="E1278" s="50" t="s">
        <v>11</v>
      </c>
      <c r="F1278" s="49" t="s">
        <v>1497</v>
      </c>
      <c r="G1278" s="55" t="s">
        <v>38</v>
      </c>
      <c r="H1278" s="30">
        <v>640.0</v>
      </c>
      <c r="I1278" s="30">
        <v>14363.63</v>
      </c>
      <c r="J1278" s="29">
        <v>9192723.2</v>
      </c>
      <c r="K1278" s="29">
        <v>14721.195615757735</v>
      </c>
      <c r="L1278" s="30">
        <v>3256.329999999981</v>
      </c>
      <c r="M1278" s="29">
        <v>4.79370709194601E7</v>
      </c>
      <c r="N1278" s="31" t="s">
        <v>1498</v>
      </c>
      <c r="O1278" s="32"/>
      <c r="P1278" s="33" t="str">
        <f t="array" ref="P1278">IFERROR(
HYPERLINK(
"https://drive.google.com/file/d/"&amp;
XLOOKUP(O1278,'Hoa-Don'!A:A,'Hoa-Don'!D:D)
&amp;"/view",
"🔎"
),
""
)</f>
        <v/>
      </c>
    </row>
    <row r="1279" ht="22.5" customHeight="1">
      <c r="A1279" s="46">
        <v>1278.0</v>
      </c>
      <c r="B1279" s="47">
        <v>46090.0</v>
      </c>
      <c r="C1279" s="48">
        <v>1437.0</v>
      </c>
      <c r="D1279" s="24" t="s">
        <v>86</v>
      </c>
      <c r="E1279" s="50" t="s">
        <v>11</v>
      </c>
      <c r="F1279" s="49" t="s">
        <v>1499</v>
      </c>
      <c r="G1279" s="55" t="s">
        <v>38</v>
      </c>
      <c r="H1279" s="30">
        <v>624.0</v>
      </c>
      <c r="I1279" s="30">
        <v>14363.63</v>
      </c>
      <c r="J1279" s="29">
        <v>8962905.12</v>
      </c>
      <c r="K1279" s="29">
        <v>14663.695108266664</v>
      </c>
      <c r="L1279" s="30">
        <v>3880.329999999981</v>
      </c>
      <c r="M1279" s="29">
        <v>5.68999760394601E7</v>
      </c>
      <c r="N1279" s="31" t="s">
        <v>1500</v>
      </c>
      <c r="O1279" s="32"/>
      <c r="P1279" s="33" t="str">
        <f t="array" ref="P1279">IFERROR(
HYPERLINK(
"https://drive.google.com/file/d/"&amp;
XLOOKUP(O1279,'Hoa-Don'!A:A,'Hoa-Don'!D:D)
&amp;"/view",
"🔎"
),
""
)</f>
        <v/>
      </c>
    </row>
    <row r="1280" ht="22.5" customHeight="1">
      <c r="A1280" s="46">
        <v>1279.0</v>
      </c>
      <c r="B1280" s="47">
        <v>46090.0</v>
      </c>
      <c r="C1280" s="48">
        <v>1437.0</v>
      </c>
      <c r="D1280" s="24" t="s">
        <v>86</v>
      </c>
      <c r="E1280" s="50" t="s">
        <v>11</v>
      </c>
      <c r="F1280" s="49" t="s">
        <v>1501</v>
      </c>
      <c r="G1280" s="55" t="s">
        <v>38</v>
      </c>
      <c r="H1280" s="30">
        <v>314.0</v>
      </c>
      <c r="I1280" s="30">
        <v>14545.45</v>
      </c>
      <c r="J1280" s="29">
        <v>4567271.3</v>
      </c>
      <c r="K1280" s="29">
        <v>14654.842928300915</v>
      </c>
      <c r="L1280" s="30">
        <v>4194.329999999981</v>
      </c>
      <c r="M1280" s="29">
        <v>6.14672473394601E7</v>
      </c>
      <c r="N1280" s="31" t="s">
        <v>1502</v>
      </c>
      <c r="O1280" s="32"/>
      <c r="P1280" s="33" t="str">
        <f t="array" ref="P1280">IFERROR(
HYPERLINK(
"https://drive.google.com/file/d/"&amp;
XLOOKUP(O1280,'Hoa-Don'!A:A,'Hoa-Don'!D:D)
&amp;"/view",
"🔎"
),
""
)</f>
        <v/>
      </c>
    </row>
    <row r="1281" ht="22.5" customHeight="1">
      <c r="A1281" s="46">
        <v>1280.0</v>
      </c>
      <c r="B1281" s="47">
        <v>46090.0</v>
      </c>
      <c r="C1281" s="48">
        <v>248.0</v>
      </c>
      <c r="D1281" s="49" t="s">
        <v>329</v>
      </c>
      <c r="E1281" s="58" t="s">
        <v>18</v>
      </c>
      <c r="F1281" s="49" t="s">
        <v>1503</v>
      </c>
      <c r="G1281" s="55" t="s">
        <v>38</v>
      </c>
      <c r="H1281" s="30">
        <v>2282.0</v>
      </c>
      <c r="I1281" s="30">
        <v>15455.0</v>
      </c>
      <c r="J1281" s="29">
        <v>3.526831E7</v>
      </c>
      <c r="K1281" s="29">
        <v>14111.224571658358</v>
      </c>
      <c r="L1281" s="30">
        <v>9558.070000000036</v>
      </c>
      <c r="M1281" s="29">
        <v>1.3487607224163112E8</v>
      </c>
      <c r="N1281" s="31" t="s">
        <v>1504</v>
      </c>
      <c r="O1281" s="44" t="s">
        <v>1505</v>
      </c>
      <c r="P1281" s="60" t="str">
        <f t="array" ref="P1281">IFERROR(
HYPERLINK(
"https://drive.google.com/file/d/"&amp;
XLOOKUP(O1281,'Hoa-Don'!A:A,'Hoa-Don'!D:D)
&amp;"/view",
"🔎"
),
""
)</f>
        <v>🔎</v>
      </c>
    </row>
    <row r="1282" ht="22.5" customHeight="1">
      <c r="A1282" s="46">
        <v>1281.0</v>
      </c>
      <c r="B1282" s="47">
        <v>46099.0</v>
      </c>
      <c r="C1282" s="48">
        <v>13.0</v>
      </c>
      <c r="D1282" s="49" t="s">
        <v>1238</v>
      </c>
      <c r="E1282" s="58" t="s">
        <v>18</v>
      </c>
      <c r="F1282" s="49" t="s">
        <v>1284</v>
      </c>
      <c r="G1282" s="51" t="s">
        <v>42</v>
      </c>
      <c r="H1282" s="30">
        <v>1113.09</v>
      </c>
      <c r="I1282" s="30">
        <v>14111.224571658358</v>
      </c>
      <c r="J1282" s="29">
        <v>1.57070629584672E7</v>
      </c>
      <c r="K1282" s="29">
        <v>14111.224571658358</v>
      </c>
      <c r="L1282" s="30">
        <v>8444.980000000036</v>
      </c>
      <c r="M1282" s="29">
        <v>1.191690092831639E8</v>
      </c>
      <c r="N1282" s="31" t="s">
        <v>1506</v>
      </c>
      <c r="O1282" s="44" t="s">
        <v>1507</v>
      </c>
      <c r="P1282" s="60" t="str">
        <f t="array" ref="P1282">IFERROR(
HYPERLINK(
"https://drive.google.com/file/d/"&amp;
XLOOKUP(O1282,'Hoa-Don'!A:A,'Hoa-Don'!D:D)
&amp;"/view",
"🔎"
),
""
)</f>
        <v>🔎</v>
      </c>
    </row>
    <row r="1283" ht="22.5" customHeight="1">
      <c r="A1283" s="46">
        <v>1282.0</v>
      </c>
      <c r="B1283" s="47">
        <v>46099.0</v>
      </c>
      <c r="C1283" s="48">
        <v>14.0</v>
      </c>
      <c r="D1283" s="49" t="s">
        <v>1240</v>
      </c>
      <c r="E1283" s="58" t="s">
        <v>18</v>
      </c>
      <c r="F1283" s="49" t="s">
        <v>19</v>
      </c>
      <c r="G1283" s="51" t="s">
        <v>42</v>
      </c>
      <c r="H1283" s="30">
        <v>153.92</v>
      </c>
      <c r="I1283" s="30">
        <v>14111.224571658358</v>
      </c>
      <c r="J1283" s="29">
        <v>2171999.6860696543</v>
      </c>
      <c r="K1283" s="29">
        <v>14111.224571658358</v>
      </c>
      <c r="L1283" s="30">
        <v>8291.060000000036</v>
      </c>
      <c r="M1283" s="29">
        <v>1.1699700959709425E8</v>
      </c>
      <c r="N1283" s="31" t="s">
        <v>1508</v>
      </c>
      <c r="O1283" s="44" t="s">
        <v>1509</v>
      </c>
      <c r="P1283" s="60" t="str">
        <f t="array" ref="P1283">IFERROR(
HYPERLINK(
"https://drive.google.com/file/d/"&amp;
XLOOKUP(O1283,'Hoa-Don'!A:A,'Hoa-Don'!D:D)
&amp;"/view",
"🔎"
),
""
)</f>
        <v>🔎</v>
      </c>
    </row>
    <row r="1284" ht="22.5" customHeight="1">
      <c r="A1284" s="46">
        <v>1283.0</v>
      </c>
      <c r="B1284" s="47">
        <v>46112.0</v>
      </c>
      <c r="C1284" s="48">
        <v>15.0</v>
      </c>
      <c r="D1284" s="49" t="s">
        <v>1510</v>
      </c>
      <c r="E1284" s="50" t="s">
        <v>11</v>
      </c>
      <c r="F1284" s="49" t="s">
        <v>1259</v>
      </c>
      <c r="G1284" s="51" t="s">
        <v>42</v>
      </c>
      <c r="H1284" s="30">
        <v>583.0</v>
      </c>
      <c r="I1284" s="30">
        <v>14654.842928300915</v>
      </c>
      <c r="J1284" s="29">
        <v>8543773.427199434</v>
      </c>
      <c r="K1284" s="29">
        <v>14654.842928300915</v>
      </c>
      <c r="L1284" s="30">
        <v>3611.329999999981</v>
      </c>
      <c r="M1284" s="29">
        <v>5.292347391226067E7</v>
      </c>
      <c r="N1284" s="31" t="s">
        <v>1511</v>
      </c>
      <c r="O1284" s="44"/>
      <c r="P1284" s="61" t="str">
        <f t="array" ref="P1284">IFERROR(
HYPERLINK(
"https://drive.google.com/file/d/"&amp;
XLOOKUP(O1284,'Hoa-Don'!A:A,'Hoa-Don'!D:D)
&amp;"/view",
"🔎"
),
""
)</f>
        <v/>
      </c>
    </row>
    <row r="1285" ht="22.5" customHeight="1">
      <c r="A1285" s="46">
        <v>1284.0</v>
      </c>
      <c r="B1285" s="47">
        <v>46113.0</v>
      </c>
      <c r="C1285" s="48">
        <v>815.0</v>
      </c>
      <c r="D1285" s="24" t="s">
        <v>1317</v>
      </c>
      <c r="E1285" s="54" t="s">
        <v>13</v>
      </c>
      <c r="F1285" s="49" t="s">
        <v>1318</v>
      </c>
      <c r="G1285" s="55" t="s">
        <v>38</v>
      </c>
      <c r="H1285" s="30">
        <v>955.5</v>
      </c>
      <c r="I1285" s="30">
        <v>15636.36</v>
      </c>
      <c r="J1285" s="29">
        <v>1.494054198E7</v>
      </c>
      <c r="K1285" s="29">
        <v>15700.401995179442</v>
      </c>
      <c r="L1285" s="30">
        <v>1337.17</v>
      </c>
      <c r="M1285" s="29">
        <v>2.0994106535894096E7</v>
      </c>
      <c r="N1285" s="31" t="s">
        <v>1512</v>
      </c>
      <c r="O1285" s="44"/>
      <c r="P1285" s="61" t="str">
        <f t="array" ref="P1285">IFERROR(
HYPERLINK(
"https://drive.google.com/file/d/"&amp;
XLOOKUP(O1285,'Hoa-Don'!A:A,'Hoa-Don'!D:D)
&amp;"/view",
"🔎"
),
""
)</f>
        <v/>
      </c>
    </row>
    <row r="1286" ht="22.5" customHeight="1">
      <c r="A1286" s="46">
        <v>1285.0</v>
      </c>
      <c r="B1286" s="47">
        <v>46114.0</v>
      </c>
      <c r="C1286" s="48">
        <v>1901.0</v>
      </c>
      <c r="D1286" s="49" t="s">
        <v>1513</v>
      </c>
      <c r="E1286" s="54" t="s">
        <v>13</v>
      </c>
      <c r="F1286" s="49" t="s">
        <v>1514</v>
      </c>
      <c r="G1286" s="55" t="s">
        <v>38</v>
      </c>
      <c r="H1286" s="30">
        <v>2147.5</v>
      </c>
      <c r="I1286" s="30">
        <v>16600.0</v>
      </c>
      <c r="J1286" s="29">
        <v>3.56485E7</v>
      </c>
      <c r="K1286" s="29">
        <v>16254.797882122008</v>
      </c>
      <c r="L1286" s="30">
        <v>3484.67</v>
      </c>
      <c r="M1286" s="29">
        <v>5.6642606535894096E7</v>
      </c>
      <c r="N1286" s="31" t="s">
        <v>1515</v>
      </c>
      <c r="O1286" s="44"/>
      <c r="P1286" s="61" t="str">
        <f t="array" ref="P1286">IFERROR(
HYPERLINK(
"https://drive.google.com/file/d/"&amp;
XLOOKUP(O1286,'Hoa-Don'!A:A,'Hoa-Don'!D:D)
&amp;"/view",
"🔎"
),
""
)</f>
        <v/>
      </c>
    </row>
    <row r="1287" ht="22.5" customHeight="1">
      <c r="A1287" s="62">
        <v>1286.0</v>
      </c>
      <c r="B1287" s="47">
        <v>46121.0</v>
      </c>
      <c r="C1287" s="48">
        <v>2066.0</v>
      </c>
      <c r="D1287" s="49" t="s">
        <v>1513</v>
      </c>
      <c r="E1287" s="54" t="s">
        <v>13</v>
      </c>
      <c r="F1287" s="49" t="s">
        <v>1318</v>
      </c>
      <c r="G1287" s="55" t="s">
        <v>38</v>
      </c>
      <c r="H1287" s="30">
        <v>1375.92</v>
      </c>
      <c r="I1287" s="30">
        <v>1375.92</v>
      </c>
      <c r="J1287" s="29">
        <v>1893155.8464000002</v>
      </c>
      <c r="K1287" s="29">
        <v>12042.933549691312</v>
      </c>
      <c r="L1287" s="30">
        <v>4860.59</v>
      </c>
      <c r="M1287" s="29">
        <v>5.8535762382294096E7</v>
      </c>
      <c r="N1287" s="31" t="s">
        <v>1516</v>
      </c>
      <c r="O1287" s="44"/>
      <c r="P1287" s="61" t="str">
        <f t="array" ref="P1287">IFERROR(
HYPERLINK(
"https://drive.google.com/file/d/"&amp;
XLOOKUP(O1287,'Hoa-Don'!A:A,'Hoa-Don'!D:D)
&amp;"/view",
"🔎"
),
""
)</f>
        <v/>
      </c>
    </row>
    <row r="1288" ht="22.5" customHeight="1">
      <c r="A1288" s="62">
        <v>1287.0</v>
      </c>
      <c r="B1288" s="47">
        <v>46121.0</v>
      </c>
      <c r="C1288" s="48">
        <v>2066.0</v>
      </c>
      <c r="D1288" s="49" t="s">
        <v>1513</v>
      </c>
      <c r="E1288" s="59" t="s">
        <v>6</v>
      </c>
      <c r="F1288" s="49" t="s">
        <v>1517</v>
      </c>
      <c r="G1288" s="55" t="s">
        <v>38</v>
      </c>
      <c r="H1288" s="30">
        <v>1368.63</v>
      </c>
      <c r="I1288" s="30">
        <v>15545.45</v>
      </c>
      <c r="J1288" s="29">
        <v>2.1275969233500004E7</v>
      </c>
      <c r="K1288" s="29">
        <v>15545.45</v>
      </c>
      <c r="L1288" s="30">
        <v>1368.63</v>
      </c>
      <c r="M1288" s="29">
        <v>2.1275969233500004E7</v>
      </c>
      <c r="N1288" s="31" t="s">
        <v>1518</v>
      </c>
      <c r="O1288" s="44"/>
      <c r="P1288" s="61" t="str">
        <f t="array" ref="P1288">IFERROR(
HYPERLINK(
"https://drive.google.com/file/d/"&amp;
XLOOKUP(O1288,'Hoa-Don'!A:A,'Hoa-Don'!D:D)
&amp;"/view",
"🔎"
),
""
)</f>
        <v/>
      </c>
    </row>
    <row r="1289" ht="22.5" customHeight="1">
      <c r="A1289" s="62">
        <v>1288.0</v>
      </c>
      <c r="B1289" s="47">
        <v>46121.0</v>
      </c>
      <c r="C1289" s="48">
        <v>2066.0</v>
      </c>
      <c r="D1289" s="49" t="s">
        <v>1513</v>
      </c>
      <c r="E1289" s="59" t="s">
        <v>6</v>
      </c>
      <c r="F1289" s="49" t="s">
        <v>1519</v>
      </c>
      <c r="G1289" s="55" t="s">
        <v>38</v>
      </c>
      <c r="H1289" s="30">
        <v>465.5</v>
      </c>
      <c r="I1289" s="30">
        <v>15545.45</v>
      </c>
      <c r="J1289" s="29">
        <v>7236406.975000001</v>
      </c>
      <c r="K1289" s="29">
        <v>15545.450000000003</v>
      </c>
      <c r="L1289" s="30">
        <v>1834.13</v>
      </c>
      <c r="M1289" s="29">
        <v>2.8512376208500005E7</v>
      </c>
      <c r="N1289" s="31" t="s">
        <v>1520</v>
      </c>
      <c r="O1289" s="44"/>
      <c r="P1289" s="61" t="str">
        <f t="array" ref="P1289">IFERROR(
HYPERLINK(
"https://drive.google.com/file/d/"&amp;
XLOOKUP(O1289,'Hoa-Don'!A:A,'Hoa-Don'!D:D)
&amp;"/view",
"🔎"
),
""
)</f>
        <v/>
      </c>
    </row>
    <row r="1290" ht="22.5" customHeight="1">
      <c r="A1290" s="62">
        <v>1289.0</v>
      </c>
      <c r="B1290" s="47">
        <v>46123.0</v>
      </c>
      <c r="C1290" s="48">
        <v>17.0</v>
      </c>
      <c r="D1290" s="49" t="s">
        <v>1521</v>
      </c>
      <c r="E1290" s="58" t="s">
        <v>18</v>
      </c>
      <c r="F1290" s="49" t="s">
        <v>1261</v>
      </c>
      <c r="G1290" s="51" t="s">
        <v>42</v>
      </c>
      <c r="H1290" s="30">
        <v>963.68</v>
      </c>
      <c r="I1290" s="30">
        <v>14111.224571658358</v>
      </c>
      <c r="J1290" s="29">
        <v>1.3598704895215726E7</v>
      </c>
      <c r="K1290" s="29">
        <v>14111.224571658358</v>
      </c>
      <c r="L1290" s="30">
        <v>7327.380000000036</v>
      </c>
      <c r="M1290" s="29">
        <v>1.0339830470187852E8</v>
      </c>
      <c r="N1290" s="31" t="s">
        <v>1522</v>
      </c>
      <c r="O1290" s="44"/>
      <c r="P1290" s="61" t="str">
        <f t="array" ref="P1290">IFERROR(
HYPERLINK(
"https://drive.google.com/file/d/"&amp;
XLOOKUP(O1290,'Hoa-Don'!A:A,'Hoa-Don'!D:D)
&amp;"/view",
"🔎"
),
""
)</f>
        <v/>
      </c>
    </row>
    <row r="1291" ht="22.5" customHeight="1">
      <c r="A1291" s="62">
        <v>1290.0</v>
      </c>
      <c r="B1291" s="47">
        <v>46130.0</v>
      </c>
      <c r="C1291" s="48">
        <v>16.0</v>
      </c>
      <c r="D1291" s="49" t="s">
        <v>1523</v>
      </c>
      <c r="E1291" s="58" t="s">
        <v>18</v>
      </c>
      <c r="F1291" s="49" t="s">
        <v>1291</v>
      </c>
      <c r="G1291" s="51" t="s">
        <v>42</v>
      </c>
      <c r="H1291" s="30">
        <v>447.5</v>
      </c>
      <c r="I1291" s="30">
        <v>14111.224571658358</v>
      </c>
      <c r="J1291" s="29">
        <v>6314772.9958171155</v>
      </c>
      <c r="K1291" s="29">
        <v>14111.224571658358</v>
      </c>
      <c r="L1291" s="30">
        <v>6879.880000000036</v>
      </c>
      <c r="M1291" s="29">
        <v>9.708353170606141E7</v>
      </c>
      <c r="N1291" s="31" t="s">
        <v>1524</v>
      </c>
      <c r="O1291" s="44"/>
      <c r="P1291" s="61" t="str">
        <f t="array" ref="P1291">IFERROR(
HYPERLINK(
"https://drive.google.com/file/d/"&amp;
XLOOKUP(O1291,'Hoa-Don'!A:A,'Hoa-Don'!D:D)
&amp;"/view",
"🔎"
),
""
)</f>
        <v/>
      </c>
    </row>
    <row r="1292" ht="22.5" customHeight="1">
      <c r="A1292" s="62">
        <v>1291.0</v>
      </c>
      <c r="B1292" s="47">
        <v>46130.0</v>
      </c>
      <c r="C1292" s="48">
        <v>18.0</v>
      </c>
      <c r="D1292" s="49" t="s">
        <v>1525</v>
      </c>
      <c r="E1292" s="58" t="s">
        <v>18</v>
      </c>
      <c r="F1292" s="49" t="s">
        <v>1526</v>
      </c>
      <c r="G1292" s="51" t="s">
        <v>42</v>
      </c>
      <c r="H1292" s="30">
        <v>294.0</v>
      </c>
      <c r="I1292" s="30">
        <v>14111.224571658358</v>
      </c>
      <c r="J1292" s="29">
        <v>4148700.0240675574</v>
      </c>
      <c r="K1292" s="29">
        <v>14111.224571658358</v>
      </c>
      <c r="L1292" s="30">
        <v>6585.880000000036</v>
      </c>
      <c r="M1292" s="29">
        <v>9.293483168199386E7</v>
      </c>
      <c r="N1292" s="31" t="s">
        <v>1527</v>
      </c>
      <c r="O1292" s="44"/>
      <c r="P1292" s="61" t="str">
        <f t="array" ref="P1292">IFERROR(
HYPERLINK(
"https://drive.google.com/file/d/"&amp;
XLOOKUP(O1292,'Hoa-Don'!A:A,'Hoa-Don'!D:D)
&amp;"/view",
"🔎"
),
""
)</f>
        <v/>
      </c>
    </row>
    <row r="1293" ht="22.5" customHeight="1">
      <c r="A1293" s="62">
        <v>1292.0</v>
      </c>
      <c r="B1293" s="47">
        <v>46134.0</v>
      </c>
      <c r="C1293" s="48">
        <v>19.0</v>
      </c>
      <c r="D1293" s="49" t="s">
        <v>1528</v>
      </c>
      <c r="E1293" s="50" t="s">
        <v>11</v>
      </c>
      <c r="F1293" s="49" t="s">
        <v>1259</v>
      </c>
      <c r="G1293" s="51" t="s">
        <v>42</v>
      </c>
      <c r="H1293" s="30">
        <v>667.5</v>
      </c>
      <c r="I1293" s="30">
        <v>14654.842928300915</v>
      </c>
      <c r="J1293" s="29">
        <v>9782107.65464086</v>
      </c>
      <c r="K1293" s="29">
        <v>14654.842928300915</v>
      </c>
      <c r="L1293" s="30">
        <v>2943.829999999981</v>
      </c>
      <c r="M1293" s="29">
        <v>4.3141366257619806E7</v>
      </c>
      <c r="N1293" s="31" t="s">
        <v>1529</v>
      </c>
      <c r="O1293" s="44"/>
      <c r="P1293" s="61" t="str">
        <f t="array" ref="P1293">IFERROR(
HYPERLINK(
"https://drive.google.com/file/d/"&amp;
XLOOKUP(O1293,'Hoa-Don'!A:A,'Hoa-Don'!D:D)
&amp;"/view",
"🔎"
),
""
)</f>
        <v/>
      </c>
    </row>
    <row r="1294" ht="22.5" customHeight="1">
      <c r="A1294" s="62">
        <v>1293.0</v>
      </c>
      <c r="B1294" s="47">
        <v>46139.0</v>
      </c>
      <c r="C1294" s="48">
        <v>2534.0</v>
      </c>
      <c r="D1294" s="49" t="s">
        <v>1513</v>
      </c>
      <c r="E1294" s="54" t="s">
        <v>13</v>
      </c>
      <c r="F1294" s="49" t="s">
        <v>1530</v>
      </c>
      <c r="G1294" s="55" t="s">
        <v>38</v>
      </c>
      <c r="H1294" s="30">
        <v>1375.92</v>
      </c>
      <c r="I1294" s="30">
        <v>16090.91</v>
      </c>
      <c r="J1294" s="29">
        <v>2.21398048872E7</v>
      </c>
      <c r="K1294" s="29">
        <v>12936.011851098467</v>
      </c>
      <c r="L1294" s="30">
        <v>6236.51</v>
      </c>
      <c r="M1294" s="29">
        <v>8.06755672694941E7</v>
      </c>
      <c r="N1294" s="31" t="s">
        <v>1531</v>
      </c>
      <c r="O1294" s="44"/>
      <c r="P1294" s="61" t="str">
        <f t="array" ref="P1294">IFERROR(
HYPERLINK(
"https://drive.google.com/file/d/"&amp;
XLOOKUP(O1294,'Hoa-Don'!A:A,'Hoa-Don'!D:D)
&amp;"/view",
"🔎"
),
""
)</f>
        <v/>
      </c>
    </row>
    <row r="1295" ht="22.5" customHeight="1">
      <c r="A1295" s="62">
        <v>1294.0</v>
      </c>
      <c r="B1295" s="47">
        <v>46140.0</v>
      </c>
      <c r="C1295" s="48">
        <v>20.0</v>
      </c>
      <c r="D1295" s="49" t="s">
        <v>1523</v>
      </c>
      <c r="E1295" s="58" t="s">
        <v>18</v>
      </c>
      <c r="F1295" s="49" t="s">
        <v>19</v>
      </c>
      <c r="G1295" s="51" t="s">
        <v>42</v>
      </c>
      <c r="H1295" s="30">
        <v>383.46</v>
      </c>
      <c r="I1295" s="30">
        <v>14111.224571658358</v>
      </c>
      <c r="J1295" s="29">
        <v>5411090.174248114</v>
      </c>
      <c r="K1295" s="29">
        <v>14111.224571658358</v>
      </c>
      <c r="L1295" s="30">
        <v>6202.4200000000355</v>
      </c>
      <c r="M1295" s="29">
        <v>8.752374150774574E7</v>
      </c>
      <c r="N1295" s="31" t="s">
        <v>1532</v>
      </c>
      <c r="O1295" s="44"/>
      <c r="P1295" s="61" t="str">
        <f t="array" ref="P1295">IFERROR(
HYPERLINK(
"https://drive.google.com/file/d/"&amp;
XLOOKUP(O1295,'Hoa-Don'!A:A,'Hoa-Don'!D:D)
&amp;"/view",
"🔎"
),
""
)</f>
        <v/>
      </c>
    </row>
    <row r="1296" ht="22.5" customHeight="1">
      <c r="A1296" s="62">
        <v>1295.0</v>
      </c>
      <c r="B1296" s="47">
        <v>46147.0</v>
      </c>
      <c r="C1296" s="48">
        <v>2711.0</v>
      </c>
      <c r="D1296" s="49" t="s">
        <v>1513</v>
      </c>
      <c r="E1296" s="54" t="s">
        <v>13</v>
      </c>
      <c r="F1296" s="49" t="s">
        <v>1533</v>
      </c>
      <c r="G1296" s="55" t="s">
        <v>38</v>
      </c>
      <c r="H1296" s="30">
        <v>373.5</v>
      </c>
      <c r="I1296" s="30">
        <v>16363.64</v>
      </c>
      <c r="J1296" s="29">
        <v>6111819.54</v>
      </c>
      <c r="K1296" s="29">
        <v>13129.690697819535</v>
      </c>
      <c r="L1296" s="30">
        <v>6610.01</v>
      </c>
      <c r="M1296" s="29">
        <v>8.678738680949411E7</v>
      </c>
      <c r="N1296" s="31" t="s">
        <v>1534</v>
      </c>
      <c r="O1296" s="44"/>
      <c r="P1296" s="61" t="str">
        <f t="array" ref="P1296">IFERROR(
HYPERLINK(
"https://drive.google.com/file/d/"&amp;
XLOOKUP(O1296,'Hoa-Don'!A:A,'Hoa-Don'!D:D)
&amp;"/view",
"🔎"
),
""
)</f>
        <v/>
      </c>
    </row>
    <row r="1297" ht="22.5" customHeight="1">
      <c r="A1297" s="62">
        <v>1296.0</v>
      </c>
      <c r="B1297" s="47">
        <v>46147.0</v>
      </c>
      <c r="C1297" s="48">
        <v>2711.0</v>
      </c>
      <c r="D1297" s="49" t="s">
        <v>1513</v>
      </c>
      <c r="E1297" s="54" t="s">
        <v>13</v>
      </c>
      <c r="F1297" s="49" t="s">
        <v>1535</v>
      </c>
      <c r="G1297" s="55" t="s">
        <v>38</v>
      </c>
      <c r="H1297" s="30">
        <v>472.0</v>
      </c>
      <c r="I1297" s="30">
        <v>16363.64</v>
      </c>
      <c r="J1297" s="29">
        <v>7723638.08</v>
      </c>
      <c r="K1297" s="29">
        <v>13345.226127821636</v>
      </c>
      <c r="L1297" s="30">
        <v>7082.01</v>
      </c>
      <c r="M1297" s="29">
        <v>9.45110248894941E7</v>
      </c>
      <c r="N1297" s="31" t="s">
        <v>1536</v>
      </c>
      <c r="O1297" s="44"/>
      <c r="P1297" s="61" t="str">
        <f t="array" ref="P1297">IFERROR(
HYPERLINK(
"https://drive.google.com/file/d/"&amp;
XLOOKUP(O1297,'Hoa-Don'!A:A,'Hoa-Don'!D:D)
&amp;"/view",
"🔎"
),
""
)</f>
        <v/>
      </c>
    </row>
    <row r="1298" ht="22.5" customHeight="1">
      <c r="A1298" s="62">
        <v>1297.0</v>
      </c>
      <c r="B1298" s="47">
        <v>46147.0</v>
      </c>
      <c r="C1298" s="48">
        <v>2711.0</v>
      </c>
      <c r="D1298" s="49" t="s">
        <v>1513</v>
      </c>
      <c r="E1298" s="54" t="s">
        <v>13</v>
      </c>
      <c r="F1298" s="49" t="s">
        <v>1537</v>
      </c>
      <c r="G1298" s="55" t="s">
        <v>38</v>
      </c>
      <c r="H1298" s="30">
        <v>395.04</v>
      </c>
      <c r="I1298" s="30">
        <v>16363.64</v>
      </c>
      <c r="J1298" s="29">
        <v>6464292.3456</v>
      </c>
      <c r="K1298" s="29">
        <v>13504.700013386844</v>
      </c>
      <c r="L1298" s="30">
        <v>7477.05</v>
      </c>
      <c r="M1298" s="29">
        <v>1.009753172350941E8</v>
      </c>
      <c r="N1298" s="31" t="s">
        <v>1538</v>
      </c>
      <c r="O1298" s="44"/>
      <c r="P1298" s="61" t="str">
        <f t="array" ref="P1298">IFERROR(
HYPERLINK(
"https://drive.google.com/file/d/"&amp;
XLOOKUP(O1298,'Hoa-Don'!A:A,'Hoa-Don'!D:D)
&amp;"/view",
"🔎"
),
""
)</f>
        <v/>
      </c>
    </row>
    <row r="1299" ht="22.5" customHeight="1">
      <c r="A1299" s="62">
        <v>1298.0</v>
      </c>
      <c r="B1299" s="47">
        <v>46147.0</v>
      </c>
      <c r="C1299" s="48">
        <v>2711.0</v>
      </c>
      <c r="D1299" s="49" t="s">
        <v>1513</v>
      </c>
      <c r="E1299" s="54" t="s">
        <v>13</v>
      </c>
      <c r="F1299" s="49" t="s">
        <v>1539</v>
      </c>
      <c r="G1299" s="55" t="s">
        <v>38</v>
      </c>
      <c r="H1299" s="30">
        <v>472.5</v>
      </c>
      <c r="I1299" s="30">
        <v>16363.64</v>
      </c>
      <c r="J1299" s="29">
        <v>7731819.899999999</v>
      </c>
      <c r="K1299" s="29">
        <v>13674.62776321856</v>
      </c>
      <c r="L1299" s="30">
        <v>7949.55</v>
      </c>
      <c r="M1299" s="29">
        <v>1.087071371350941E8</v>
      </c>
      <c r="N1299" s="31" t="s">
        <v>1540</v>
      </c>
      <c r="O1299" s="44"/>
      <c r="P1299" s="61" t="str">
        <f t="array" ref="P1299">IFERROR(
HYPERLINK(
"https://drive.google.com/file/d/"&amp;
XLOOKUP(O1299,'Hoa-Don'!A:A,'Hoa-Don'!D:D)
&amp;"/view",
"🔎"
),
""
)</f>
        <v/>
      </c>
    </row>
    <row r="1300" ht="22.5" customHeight="1">
      <c r="A1300" s="62">
        <v>1299.0</v>
      </c>
      <c r="B1300" s="47">
        <v>46149.0</v>
      </c>
      <c r="C1300" s="48">
        <v>2777.0</v>
      </c>
      <c r="D1300" s="49" t="s">
        <v>1513</v>
      </c>
      <c r="E1300" s="54" t="s">
        <v>13</v>
      </c>
      <c r="F1300" s="49" t="s">
        <v>1530</v>
      </c>
      <c r="G1300" s="55" t="s">
        <v>38</v>
      </c>
      <c r="H1300" s="30">
        <v>2751.84</v>
      </c>
      <c r="I1300" s="30">
        <v>16363.64</v>
      </c>
      <c r="J1300" s="29">
        <v>4.50301190976E7</v>
      </c>
      <c r="K1300" s="29">
        <v>14366.10162162991</v>
      </c>
      <c r="L1300" s="30">
        <v>10701.39</v>
      </c>
      <c r="M1300" s="29">
        <v>1.537372562326941E8</v>
      </c>
      <c r="N1300" s="31" t="s">
        <v>1541</v>
      </c>
      <c r="O1300" s="44"/>
      <c r="P1300" s="61" t="str">
        <f t="array" ref="P1300">IFERROR(
HYPERLINK(
"https://drive.google.com/file/d/"&amp;
XLOOKUP(O1300,'Hoa-Don'!A:A,'Hoa-Don'!D:D)
&amp;"/view",
"🔎"
),
""
)</f>
        <v/>
      </c>
    </row>
    <row r="1301" ht="22.5" customHeight="1">
      <c r="A1301" s="62">
        <v>1300.0</v>
      </c>
      <c r="B1301" s="47">
        <v>46151.0</v>
      </c>
      <c r="C1301" s="48">
        <v>189.0</v>
      </c>
      <c r="D1301" s="49" t="s">
        <v>1542</v>
      </c>
      <c r="E1301" s="58" t="s">
        <v>18</v>
      </c>
      <c r="F1301" s="49" t="s">
        <v>1543</v>
      </c>
      <c r="G1301" s="55" t="s">
        <v>38</v>
      </c>
      <c r="H1301" s="30">
        <v>2121.0</v>
      </c>
      <c r="I1301" s="30">
        <v>15272.73</v>
      </c>
      <c r="J1301" s="29">
        <v>3.239346033E7</v>
      </c>
      <c r="K1301" s="29">
        <v>14407.203029253029</v>
      </c>
      <c r="L1301" s="30">
        <v>8323.420000000035</v>
      </c>
      <c r="M1301" s="29">
        <v>1.1991720183774574E8</v>
      </c>
      <c r="N1301" s="31" t="s">
        <v>1544</v>
      </c>
      <c r="O1301" s="44"/>
      <c r="P1301" s="61" t="str">
        <f t="array" ref="P1301">IFERROR(
HYPERLINK(
"https://drive.google.com/file/d/"&amp;
XLOOKUP(O1301,'Hoa-Don'!A:A,'Hoa-Don'!D:D)
&amp;"/view",
"🔎"
),
""
)</f>
        <v/>
      </c>
    </row>
    <row r="1302" ht="22.5" customHeight="1">
      <c r="A1302" s="62">
        <v>1301.0</v>
      </c>
      <c r="B1302" s="47">
        <v>46151.0</v>
      </c>
      <c r="C1302" s="48">
        <v>189.0</v>
      </c>
      <c r="D1302" s="49" t="s">
        <v>1542</v>
      </c>
      <c r="E1302" s="58" t="s">
        <v>18</v>
      </c>
      <c r="F1302" s="49" t="s">
        <v>1545</v>
      </c>
      <c r="G1302" s="55" t="s">
        <v>38</v>
      </c>
      <c r="H1302" s="30">
        <v>561.0</v>
      </c>
      <c r="I1302" s="30">
        <v>15272.73</v>
      </c>
      <c r="J1302" s="29">
        <v>8568001.53</v>
      </c>
      <c r="K1302" s="29">
        <v>14461.85607701406</v>
      </c>
      <c r="L1302" s="30">
        <v>8884.420000000035</v>
      </c>
      <c r="M1302" s="29">
        <v>1.2848520336774574E8</v>
      </c>
      <c r="N1302" s="31" t="s">
        <v>1546</v>
      </c>
      <c r="O1302" s="44"/>
      <c r="P1302" s="61" t="str">
        <f t="array" ref="P1302">IFERROR(
HYPERLINK(
"https://drive.google.com/file/d/"&amp;
XLOOKUP(O1302,'Hoa-Don'!A:A,'Hoa-Don'!D:D)
&amp;"/view",
"🔎"
),
""
)</f>
        <v/>
      </c>
    </row>
    <row r="1303" ht="22.5" customHeight="1">
      <c r="A1303" s="62">
        <v>1302.0</v>
      </c>
      <c r="B1303" s="47">
        <v>46153.0</v>
      </c>
      <c r="C1303" s="48">
        <v>21.0</v>
      </c>
      <c r="D1303" s="49" t="s">
        <v>1521</v>
      </c>
      <c r="E1303" s="58" t="s">
        <v>18</v>
      </c>
      <c r="F1303" s="49" t="s">
        <v>1332</v>
      </c>
      <c r="G1303" s="51" t="s">
        <v>42</v>
      </c>
      <c r="H1303" s="30">
        <v>877.6</v>
      </c>
      <c r="I1303" s="30">
        <v>14461.85607701406</v>
      </c>
      <c r="J1303" s="29">
        <v>1.269172489318754E7</v>
      </c>
      <c r="K1303" s="29">
        <v>14461.85607701406</v>
      </c>
      <c r="L1303" s="30">
        <v>8006.820000000034</v>
      </c>
      <c r="M1303" s="29">
        <v>1.157934784745582E8</v>
      </c>
      <c r="N1303" s="31" t="s">
        <v>1547</v>
      </c>
      <c r="O1303" s="44"/>
      <c r="P1303" s="61" t="str">
        <f t="array" ref="P1303">IFERROR(
HYPERLINK(
"https://drive.google.com/file/d/"&amp;
XLOOKUP(O1303,'Hoa-Don'!A:A,'Hoa-Don'!D:D)
&amp;"/view",
"🔎"
),
""
)</f>
        <v/>
      </c>
    </row>
    <row r="1304" ht="22.5" customHeight="1">
      <c r="A1304" s="62">
        <v>1303.0</v>
      </c>
      <c r="B1304" s="47">
        <v>46156.0</v>
      </c>
      <c r="C1304" s="48">
        <v>101.0</v>
      </c>
      <c r="D1304" s="49" t="s">
        <v>1548</v>
      </c>
      <c r="E1304" s="50" t="s">
        <v>11</v>
      </c>
      <c r="F1304" s="49" t="s">
        <v>1300</v>
      </c>
      <c r="G1304" s="55" t="s">
        <v>38</v>
      </c>
      <c r="H1304" s="30">
        <v>474.0</v>
      </c>
      <c r="I1304" s="30">
        <v>16210.5</v>
      </c>
      <c r="J1304" s="29">
        <v>7683777.0</v>
      </c>
      <c r="K1304" s="29">
        <v>14870.588431144934</v>
      </c>
      <c r="L1304" s="30">
        <v>3417.829999999981</v>
      </c>
      <c r="M1304" s="29">
        <v>5.0825143257619806E7</v>
      </c>
      <c r="N1304" s="31" t="s">
        <v>1549</v>
      </c>
      <c r="O1304" s="44"/>
      <c r="P1304" s="61" t="str">
        <f t="array" ref="P1304">IFERROR(
HYPERLINK(
"https://drive.google.com/file/d/"&amp;
XLOOKUP(O1304,'Hoa-Don'!A:A,'Hoa-Don'!D:D)
&amp;"/view",
"🔎"
),
""
)</f>
        <v/>
      </c>
    </row>
    <row r="1305" ht="22.5" customHeight="1">
      <c r="A1305" s="62">
        <v>1304.0</v>
      </c>
      <c r="B1305" s="47">
        <v>46156.0</v>
      </c>
      <c r="C1305" s="48">
        <v>102.0</v>
      </c>
      <c r="D1305" s="49" t="s">
        <v>1548</v>
      </c>
      <c r="E1305" s="50" t="s">
        <v>11</v>
      </c>
      <c r="F1305" s="49" t="s">
        <v>1300</v>
      </c>
      <c r="G1305" s="55" t="s">
        <v>38</v>
      </c>
      <c r="H1305" s="30">
        <v>255.8</v>
      </c>
      <c r="I1305" s="30">
        <v>16213.0</v>
      </c>
      <c r="J1305" s="29">
        <v>4147285.4000000004</v>
      </c>
      <c r="K1305" s="29">
        <v>14964.062428067085</v>
      </c>
      <c r="L1305" s="30">
        <v>3673.629999999981</v>
      </c>
      <c r="M1305" s="29">
        <v>5.4972428657619804E7</v>
      </c>
      <c r="N1305" s="31" t="s">
        <v>1550</v>
      </c>
      <c r="O1305" s="44"/>
      <c r="P1305" s="61" t="str">
        <f t="array" ref="P1305">IFERROR(
HYPERLINK(
"https://drive.google.com/file/d/"&amp;
XLOOKUP(O1305,'Hoa-Don'!A:A,'Hoa-Don'!D:D)
&amp;"/view",
"🔎"
),
""
)</f>
        <v/>
      </c>
    </row>
    <row r="1306" ht="22.5" customHeight="1">
      <c r="A1306" s="62">
        <v>1305.0</v>
      </c>
      <c r="B1306" s="47">
        <v>46156.0</v>
      </c>
      <c r="C1306" s="48">
        <v>22.0</v>
      </c>
      <c r="D1306" s="49" t="s">
        <v>1528</v>
      </c>
      <c r="E1306" s="50" t="s">
        <v>11</v>
      </c>
      <c r="F1306" s="49" t="s">
        <v>1369</v>
      </c>
      <c r="G1306" s="51" t="s">
        <v>42</v>
      </c>
      <c r="H1306" s="30">
        <v>1090.84</v>
      </c>
      <c r="I1306" s="30">
        <v>14964.062428067085</v>
      </c>
      <c r="J1306" s="29">
        <v>1.6323397859032698E7</v>
      </c>
      <c r="K1306" s="29">
        <v>14964.062428067085</v>
      </c>
      <c r="L1306" s="30">
        <v>2582.789999999981</v>
      </c>
      <c r="M1306" s="29">
        <v>3.86490307985871E7</v>
      </c>
      <c r="N1306" s="31" t="s">
        <v>1551</v>
      </c>
      <c r="O1306" s="44"/>
      <c r="P1306" s="61" t="str">
        <f t="array" ref="P1306">IFERROR(
HYPERLINK(
"https://drive.google.com/file/d/"&amp;
XLOOKUP(O1306,'Hoa-Don'!A:A,'Hoa-Don'!D:D)
&amp;"/view",
"🔎"
),
""
)</f>
        <v/>
      </c>
    </row>
    <row r="1307" ht="22.5" customHeight="1">
      <c r="A1307" s="62">
        <v>1306.0</v>
      </c>
      <c r="B1307" s="47">
        <v>46157.0</v>
      </c>
      <c r="C1307" s="48">
        <v>23.0</v>
      </c>
      <c r="D1307" s="49" t="s">
        <v>1552</v>
      </c>
      <c r="E1307" s="58" t="s">
        <v>18</v>
      </c>
      <c r="F1307" s="49" t="s">
        <v>19</v>
      </c>
      <c r="G1307" s="51" t="s">
        <v>42</v>
      </c>
      <c r="H1307" s="30">
        <v>1580.575</v>
      </c>
      <c r="I1307" s="30">
        <v>14461.85607701406</v>
      </c>
      <c r="J1307" s="29">
        <v>2.2858048168926496E7</v>
      </c>
      <c r="K1307" s="29">
        <v>14461.85607701406</v>
      </c>
      <c r="L1307" s="30">
        <v>6426.245000000034</v>
      </c>
      <c r="M1307" s="29">
        <v>9.293543030563171E7</v>
      </c>
      <c r="N1307" s="31" t="s">
        <v>1553</v>
      </c>
      <c r="O1307" s="44"/>
      <c r="P1307" s="61" t="str">
        <f t="array" ref="P1307">IFERROR(
HYPERLINK(
"https://drive.google.com/file/d/"&amp;
XLOOKUP(O1307,'Hoa-Don'!A:A,'Hoa-Don'!D:D)
&amp;"/view",
"🔎"
),
""
)</f>
        <v/>
      </c>
    </row>
    <row r="1308" ht="22.5" customHeight="1">
      <c r="A1308" s="62">
        <v>1307.0</v>
      </c>
      <c r="B1308" s="47">
        <v>46158.0</v>
      </c>
      <c r="C1308" s="48">
        <v>519.0</v>
      </c>
      <c r="D1308" s="49" t="s">
        <v>1554</v>
      </c>
      <c r="E1308" s="58" t="s">
        <v>18</v>
      </c>
      <c r="F1308" s="49" t="s">
        <v>19</v>
      </c>
      <c r="G1308" s="55" t="s">
        <v>38</v>
      </c>
      <c r="H1308" s="30">
        <v>1536.4</v>
      </c>
      <c r="I1308" s="30">
        <v>15454.0</v>
      </c>
      <c r="J1308" s="29">
        <v>2.37435256E7</v>
      </c>
      <c r="K1308" s="29">
        <v>14653.291199799967</v>
      </c>
      <c r="L1308" s="30">
        <v>7962.645000000035</v>
      </c>
      <c r="M1308" s="29">
        <v>1.1667895590563172E8</v>
      </c>
      <c r="N1308" s="31" t="s">
        <v>1555</v>
      </c>
      <c r="O1308" s="44"/>
      <c r="P1308" s="61" t="str">
        <f t="array" ref="P1308">IFERROR(
HYPERLINK(
"https://drive.google.com/file/d/"&amp;
XLOOKUP(O1308,'Hoa-Don'!A:A,'Hoa-Don'!D:D)
&amp;"/view",
"🔎"
),
""
)</f>
        <v/>
      </c>
    </row>
    <row r="1309" ht="22.5" customHeight="1">
      <c r="A1309" s="62">
        <v>1308.0</v>
      </c>
      <c r="B1309" s="47">
        <v>46159.0</v>
      </c>
      <c r="C1309" s="48">
        <v>24.0</v>
      </c>
      <c r="D1309" s="49" t="s">
        <v>1556</v>
      </c>
      <c r="E1309" s="58" t="s">
        <v>18</v>
      </c>
      <c r="F1309" s="49" t="s">
        <v>19</v>
      </c>
      <c r="G1309" s="51" t="s">
        <v>42</v>
      </c>
      <c r="H1309" s="30">
        <v>370.444</v>
      </c>
      <c r="I1309" s="30">
        <v>14653.291199799967</v>
      </c>
      <c r="J1309" s="29">
        <v>5428223.805218699</v>
      </c>
      <c r="K1309" s="29">
        <v>14653.291199799967</v>
      </c>
      <c r="L1309" s="30">
        <v>7592.201000000035</v>
      </c>
      <c r="M1309" s="29">
        <v>1.1125073210041302E8</v>
      </c>
      <c r="N1309" s="31" t="s">
        <v>1557</v>
      </c>
      <c r="O1309" s="44" t="s">
        <v>1558</v>
      </c>
      <c r="P1309" s="60" t="str">
        <f t="array" ref="P1309">IFERROR(
HYPERLINK(
"https://drive.google.com/file/d/"&amp;
XLOOKUP(O1309,'Hoa-Don'!A:A,'Hoa-Don'!D:D)
&amp;"/view",
"🔎"
),
""
)</f>
        <v>🔎</v>
      </c>
    </row>
    <row r="1310" ht="22.5" customHeight="1">
      <c r="A1310" s="62">
        <v>1309.0</v>
      </c>
      <c r="B1310" s="47">
        <v>46160.0</v>
      </c>
      <c r="C1310" s="48">
        <v>522.0</v>
      </c>
      <c r="D1310" s="49" t="s">
        <v>1554</v>
      </c>
      <c r="E1310" s="58" t="s">
        <v>18</v>
      </c>
      <c r="F1310" s="49" t="s">
        <v>19</v>
      </c>
      <c r="G1310" s="55" t="s">
        <v>38</v>
      </c>
      <c r="H1310" s="30">
        <v>360.0</v>
      </c>
      <c r="I1310" s="30">
        <v>15454.0</v>
      </c>
      <c r="J1310" s="29">
        <v>5563440.0</v>
      </c>
      <c r="K1310" s="29">
        <v>14689.539675922744</v>
      </c>
      <c r="L1310" s="30">
        <v>7952.201000000035</v>
      </c>
      <c r="M1310" s="29">
        <v>1.1681417210041302E8</v>
      </c>
      <c r="N1310" s="31" t="s">
        <v>1559</v>
      </c>
      <c r="O1310" s="44"/>
      <c r="P1310" s="61" t="str">
        <f t="array" ref="P1310">IFERROR(
HYPERLINK(
"https://drive.google.com/file/d/"&amp;
XLOOKUP(O1310,'Hoa-Don'!A:A,'Hoa-Don'!D:D)
&amp;"/view",
"🔎"
),
""
)</f>
        <v/>
      </c>
    </row>
    <row r="1311" ht="22.5" customHeight="1">
      <c r="A1311" s="62">
        <v>1310.0</v>
      </c>
      <c r="B1311" s="47">
        <v>46160.0</v>
      </c>
      <c r="C1311" s="48">
        <v>526.0</v>
      </c>
      <c r="D1311" s="49" t="s">
        <v>1554</v>
      </c>
      <c r="E1311" s="58" t="s">
        <v>18</v>
      </c>
      <c r="F1311" s="49" t="s">
        <v>19</v>
      </c>
      <c r="G1311" s="55" t="s">
        <v>38</v>
      </c>
      <c r="H1311" s="30">
        <v>463.6</v>
      </c>
      <c r="I1311" s="30">
        <v>15454.0</v>
      </c>
      <c r="J1311" s="29"/>
      <c r="K1311" s="29"/>
      <c r="L1311" s="30"/>
      <c r="M1311" s="29"/>
      <c r="N1311" s="31" t="s">
        <v>1560</v>
      </c>
      <c r="O1311" s="44"/>
      <c r="P1311" s="61" t="str">
        <f t="array" ref="P1311">IFERROR(
HYPERLINK(
"https://drive.google.com/file/d/"&amp;
XLOOKUP(O1311,'Hoa-Don'!A:A,'Hoa-Don'!D:D)
&amp;"/view",
"🔎"
),
""
)</f>
        <v/>
      </c>
    </row>
    <row r="1312" ht="22.5" customHeight="1">
      <c r="A1312" s="62">
        <v>1311.0</v>
      </c>
      <c r="B1312" s="47">
        <v>46167.0</v>
      </c>
      <c r="C1312" s="48">
        <v>25.0</v>
      </c>
      <c r="D1312" s="49" t="s">
        <v>1523</v>
      </c>
      <c r="E1312" s="58" t="s">
        <v>18</v>
      </c>
      <c r="F1312" s="49" t="s">
        <v>19</v>
      </c>
      <c r="G1312" s="51" t="s">
        <v>42</v>
      </c>
      <c r="H1312" s="30">
        <v>656.31</v>
      </c>
      <c r="I1312" s="30">
        <v>14908.42</v>
      </c>
      <c r="J1312" s="29"/>
      <c r="K1312" s="29"/>
      <c r="L1312" s="30"/>
      <c r="M1312" s="29"/>
      <c r="N1312" s="31" t="s">
        <v>1561</v>
      </c>
      <c r="O1312" s="44"/>
      <c r="P1312" s="61" t="str">
        <f t="array" ref="P1312">IFERROR(
HYPERLINK(
"https://drive.google.com/file/d/"&amp;
XLOOKUP(O1312,'Hoa-Don'!A:A,'Hoa-Don'!D:D)
&amp;"/view",
"🔎"
),
""
)</f>
        <v/>
      </c>
    </row>
    <row r="1313" ht="22.5" customHeight="1">
      <c r="A1313" s="62">
        <v>1313.0</v>
      </c>
      <c r="B1313" s="47">
        <v>46170.0</v>
      </c>
      <c r="C1313" s="48">
        <v>3306.0</v>
      </c>
      <c r="D1313" s="49" t="s">
        <v>1513</v>
      </c>
      <c r="E1313" s="54" t="s">
        <v>13</v>
      </c>
      <c r="F1313" s="49" t="s">
        <v>1530</v>
      </c>
      <c r="G1313" s="55" t="s">
        <v>38</v>
      </c>
      <c r="H1313" s="30">
        <v>917.28</v>
      </c>
      <c r="I1313" s="30">
        <v>17272.73</v>
      </c>
      <c r="J1313" s="29"/>
      <c r="K1313" s="29"/>
      <c r="L1313" s="30"/>
      <c r="M1313" s="29"/>
      <c r="N1313" s="31" t="s">
        <v>1562</v>
      </c>
      <c r="O1313" s="44"/>
      <c r="P1313" s="61" t="str">
        <f t="array" ref="P1313">IFERROR(
HYPERLINK(
"https://drive.google.com/file/d/"&amp;
XLOOKUP(O1313,'Hoa-Don'!A:A,'Hoa-Don'!D:D)
&amp;"/view",
"🔎"
),
""
)</f>
        <v/>
      </c>
    </row>
    <row r="1314" ht="22.5" customHeight="1">
      <c r="A1314" s="62">
        <v>1312.0</v>
      </c>
      <c r="B1314" s="47">
        <v>46168.0</v>
      </c>
      <c r="C1314" s="48">
        <v>26.0</v>
      </c>
      <c r="D1314" s="49" t="s">
        <v>1521</v>
      </c>
      <c r="E1314" s="58" t="s">
        <v>18</v>
      </c>
      <c r="F1314" s="49" t="s">
        <v>19</v>
      </c>
      <c r="G1314" s="51" t="s">
        <v>42</v>
      </c>
      <c r="H1314" s="30">
        <v>647.83</v>
      </c>
      <c r="I1314" s="30"/>
      <c r="J1314" s="29"/>
      <c r="K1314" s="29"/>
      <c r="L1314" s="30"/>
      <c r="M1314" s="29"/>
      <c r="N1314" s="31" t="s">
        <v>1563</v>
      </c>
      <c r="O1314" s="44"/>
      <c r="P1314" s="61" t="str">
        <f t="array" ref="P1314">IFERROR(
HYPERLINK(
"https://drive.google.com/file/d/"&amp;
XLOOKUP(O1314,'Hoa-Don'!A:A,'Hoa-Don'!D:D)
&amp;"/view",
"🔎"
),
""
)</f>
        <v/>
      </c>
    </row>
    <row r="1315" ht="22.5" customHeight="1">
      <c r="A1315" s="62">
        <v>1314.0</v>
      </c>
      <c r="B1315" s="47">
        <v>46171.0</v>
      </c>
      <c r="C1315" s="48">
        <v>580.0</v>
      </c>
      <c r="D1315" s="49" t="s">
        <v>1554</v>
      </c>
      <c r="E1315" s="58" t="s">
        <v>18</v>
      </c>
      <c r="F1315" s="49" t="s">
        <v>1564</v>
      </c>
      <c r="G1315" s="55" t="s">
        <v>38</v>
      </c>
      <c r="H1315" s="30">
        <v>1972.6</v>
      </c>
      <c r="I1315" s="30">
        <v>20000.0</v>
      </c>
      <c r="J1315" s="29"/>
      <c r="K1315" s="29"/>
      <c r="L1315" s="30"/>
      <c r="M1315" s="29"/>
      <c r="N1315" s="31" t="s">
        <v>1565</v>
      </c>
      <c r="O1315" s="44"/>
      <c r="P1315" s="61" t="str">
        <f t="array" ref="P1315">IFERROR(
HYPERLINK(
"https://drive.google.com/file/d/"&amp;
XLOOKUP(O1315,'Hoa-Don'!A:A,'Hoa-Don'!D:D)
&amp;"/view",
"🔎"
),
""
)</f>
        <v/>
      </c>
    </row>
    <row r="1316" ht="22.5" customHeight="1">
      <c r="A1316" s="62">
        <v>1315.0</v>
      </c>
      <c r="B1316" s="47">
        <v>46176.0</v>
      </c>
      <c r="C1316" s="48">
        <v>28.0</v>
      </c>
      <c r="D1316" s="49" t="s">
        <v>1528</v>
      </c>
      <c r="E1316" s="58" t="s">
        <v>18</v>
      </c>
      <c r="F1316" s="49" t="s">
        <v>1566</v>
      </c>
      <c r="G1316" s="51" t="s">
        <v>42</v>
      </c>
      <c r="H1316" s="30">
        <v>2180.32</v>
      </c>
      <c r="I1316" s="30"/>
      <c r="J1316" s="29"/>
      <c r="K1316" s="29"/>
      <c r="L1316" s="30"/>
      <c r="M1316" s="29"/>
      <c r="N1316" s="31" t="s">
        <v>1567</v>
      </c>
      <c r="O1316" s="44"/>
      <c r="P1316" s="61" t="str">
        <f t="array" ref="P1316">IFERROR(
HYPERLINK(
"https://drive.google.com/file/d/"&amp;
XLOOKUP(O1316,'Hoa-Don'!A:A,'Hoa-Don'!D:D)
&amp;"/view",
"🔎"
),
""
)</f>
        <v/>
      </c>
    </row>
    <row r="1317" ht="22.5" customHeight="1">
      <c r="A1317" s="62">
        <v>1316.0</v>
      </c>
      <c r="B1317" s="47">
        <v>46176.0</v>
      </c>
      <c r="C1317" s="48">
        <v>29.0</v>
      </c>
      <c r="D1317" s="49" t="s">
        <v>1568</v>
      </c>
      <c r="E1317" s="58" t="s">
        <v>18</v>
      </c>
      <c r="F1317" s="49" t="s">
        <v>19</v>
      </c>
      <c r="G1317" s="51" t="s">
        <v>42</v>
      </c>
      <c r="H1317" s="30">
        <v>1950.0</v>
      </c>
      <c r="I1317" s="30"/>
      <c r="J1317" s="29"/>
      <c r="K1317" s="29"/>
      <c r="L1317" s="30"/>
      <c r="M1317" s="29"/>
      <c r="N1317" s="31" t="s">
        <v>1569</v>
      </c>
      <c r="O1317" s="44"/>
      <c r="P1317" s="61" t="str">
        <f t="array" ref="P1317">IFERROR(
HYPERLINK(
"https://drive.google.com/file/d/"&amp;
XLOOKUP(O1317,'Hoa-Don'!A:A,'Hoa-Don'!D:D)
&amp;"/view",
"🔎"
),
""
)</f>
        <v/>
      </c>
    </row>
    <row r="1318" ht="22.5" customHeight="1">
      <c r="A1318" s="62">
        <v>1317.0</v>
      </c>
      <c r="B1318" s="47">
        <v>46176.0</v>
      </c>
      <c r="C1318" s="48">
        <v>29.0</v>
      </c>
      <c r="D1318" s="49" t="s">
        <v>1568</v>
      </c>
      <c r="E1318" s="50" t="s">
        <v>11</v>
      </c>
      <c r="F1318" s="49" t="s">
        <v>1259</v>
      </c>
      <c r="G1318" s="51" t="s">
        <v>42</v>
      </c>
      <c r="H1318" s="30">
        <v>1513.0</v>
      </c>
      <c r="I1318" s="30"/>
      <c r="J1318" s="29"/>
      <c r="K1318" s="29"/>
      <c r="L1318" s="30"/>
      <c r="M1318" s="29"/>
      <c r="N1318" s="31" t="s">
        <v>1570</v>
      </c>
      <c r="O1318" s="44"/>
      <c r="P1318" s="61" t="str">
        <f t="array" ref="P1318">IFERROR(
HYPERLINK(
"https://drive.google.com/file/d/"&amp;
XLOOKUP(O1318,'Hoa-Don'!A:A,'Hoa-Don'!D:D)
&amp;"/view",
"🔎"
),
""
)</f>
        <v/>
      </c>
    </row>
    <row r="1319" ht="22.5" customHeight="1">
      <c r="A1319" s="62">
        <v>1318.0</v>
      </c>
      <c r="B1319" s="47">
        <v>46176.0</v>
      </c>
      <c r="C1319" s="48">
        <v>29.0</v>
      </c>
      <c r="D1319" s="49" t="s">
        <v>1568</v>
      </c>
      <c r="E1319" s="54" t="s">
        <v>13</v>
      </c>
      <c r="F1319" s="49" t="s">
        <v>14</v>
      </c>
      <c r="G1319" s="51" t="s">
        <v>42</v>
      </c>
      <c r="H1319" s="30">
        <v>2855.0</v>
      </c>
      <c r="I1319" s="30"/>
      <c r="J1319" s="29"/>
      <c r="K1319" s="29"/>
      <c r="L1319" s="30"/>
      <c r="M1319" s="29"/>
      <c r="N1319" s="31" t="s">
        <v>1571</v>
      </c>
      <c r="O1319" s="44"/>
      <c r="P1319" s="61" t="str">
        <f t="array" ref="P1319">IFERROR(
HYPERLINK(
"https://drive.google.com/file/d/"&amp;
XLOOKUP(O1319,'Hoa-Don'!A:A,'Hoa-Don'!D:D)
&amp;"/view",
"🔎"
),
""
)</f>
        <v/>
      </c>
    </row>
    <row r="1320" ht="22.5" customHeight="1">
      <c r="A1320" s="62">
        <v>1319.0</v>
      </c>
      <c r="B1320" s="47">
        <v>46179.0</v>
      </c>
      <c r="C1320" s="48">
        <v>3631.0</v>
      </c>
      <c r="D1320" s="49" t="s">
        <v>1572</v>
      </c>
      <c r="E1320" s="58" t="s">
        <v>18</v>
      </c>
      <c r="F1320" s="49" t="s">
        <v>1573</v>
      </c>
      <c r="G1320" s="55" t="s">
        <v>38</v>
      </c>
      <c r="H1320" s="30">
        <v>2250.0</v>
      </c>
      <c r="I1320" s="30">
        <v>15818.182</v>
      </c>
      <c r="J1320" s="29"/>
      <c r="K1320" s="29"/>
      <c r="L1320" s="30"/>
      <c r="M1320" s="29"/>
      <c r="N1320" s="31" t="s">
        <v>1574</v>
      </c>
      <c r="O1320" s="44"/>
      <c r="P1320" s="61" t="str">
        <f t="array" ref="P1320">IFERROR(
HYPERLINK(
"https://drive.google.com/file/d/"&amp;
XLOOKUP(O1320,'Hoa-Don'!A:A,'Hoa-Don'!D:D)
&amp;"/view",
"🔎"
),
""
)</f>
        <v/>
      </c>
    </row>
    <row r="1321" ht="22.5" customHeight="1">
      <c r="A1321" s="62">
        <v>1320.0</v>
      </c>
      <c r="B1321" s="47">
        <v>46184.0</v>
      </c>
      <c r="C1321" s="48">
        <v>3644.0</v>
      </c>
      <c r="D1321" s="49" t="s">
        <v>1513</v>
      </c>
      <c r="E1321" s="54" t="s">
        <v>13</v>
      </c>
      <c r="F1321" s="49" t="s">
        <v>1575</v>
      </c>
      <c r="G1321" s="55" t="s">
        <v>38</v>
      </c>
      <c r="H1321" s="30">
        <v>347.94</v>
      </c>
      <c r="I1321" s="30">
        <v>17272.73</v>
      </c>
      <c r="J1321" s="29"/>
      <c r="K1321" s="29"/>
      <c r="L1321" s="30"/>
      <c r="M1321" s="29"/>
      <c r="N1321" s="31" t="s">
        <v>1576</v>
      </c>
      <c r="O1321" s="44"/>
      <c r="P1321" s="61" t="str">
        <f t="array" ref="P1321">IFERROR(
HYPERLINK(
"https://drive.google.com/file/d/"&amp;
XLOOKUP(O1321,'Hoa-Don'!A:A,'Hoa-Don'!D:D)
&amp;"/view",
"🔎"
),
""
)</f>
        <v/>
      </c>
    </row>
    <row r="1322" ht="22.5" customHeight="1">
      <c r="A1322" s="62">
        <v>1321.0</v>
      </c>
      <c r="B1322" s="47">
        <v>46184.0</v>
      </c>
      <c r="C1322" s="48">
        <v>3644.0</v>
      </c>
      <c r="D1322" s="49" t="s">
        <v>1513</v>
      </c>
      <c r="E1322" s="54" t="s">
        <v>13</v>
      </c>
      <c r="F1322" s="49" t="s">
        <v>1577</v>
      </c>
      <c r="G1322" s="55" t="s">
        <v>38</v>
      </c>
      <c r="H1322" s="30">
        <v>444.42</v>
      </c>
      <c r="I1322" s="30">
        <v>17272.73</v>
      </c>
      <c r="J1322" s="29"/>
      <c r="K1322" s="29"/>
      <c r="L1322" s="30"/>
      <c r="M1322" s="29"/>
      <c r="N1322" s="31" t="s">
        <v>1578</v>
      </c>
      <c r="O1322" s="44"/>
      <c r="P1322" s="61" t="str">
        <f t="array" ref="P1322">IFERROR(
HYPERLINK(
"https://drive.google.com/file/d/"&amp;
XLOOKUP(O1322,'Hoa-Don'!A:A,'Hoa-Don'!D:D)
&amp;"/view",
"🔎"
),
""
)</f>
        <v/>
      </c>
    </row>
    <row r="1323" ht="22.5" customHeight="1">
      <c r="A1323" s="62">
        <v>1324.0</v>
      </c>
      <c r="B1323" s="47">
        <v>46204.0</v>
      </c>
      <c r="C1323" s="48">
        <v>31.0</v>
      </c>
      <c r="D1323" s="49" t="s">
        <v>1525</v>
      </c>
      <c r="E1323" s="58" t="s">
        <v>18</v>
      </c>
      <c r="F1323" s="49" t="s">
        <v>19</v>
      </c>
      <c r="G1323" s="51" t="s">
        <v>42</v>
      </c>
      <c r="H1323" s="30">
        <v>280.0</v>
      </c>
      <c r="I1323" s="30">
        <v>15500.0</v>
      </c>
      <c r="J1323" s="29"/>
      <c r="K1323" s="29"/>
      <c r="L1323" s="30"/>
      <c r="M1323" s="29"/>
      <c r="N1323" s="31" t="s">
        <v>1579</v>
      </c>
      <c r="O1323" s="44"/>
      <c r="P1323" s="61" t="str">
        <f t="array" ref="P1323">IFERROR(
HYPERLINK(
"https://drive.google.com/file/d/"&amp;
XLOOKUP(O1323,'Hoa-Don'!A:A,'Hoa-Don'!D:D)
&amp;"/view",
"🔎"
),
""
)</f>
        <v/>
      </c>
    </row>
    <row r="1324" ht="22.5" customHeight="1">
      <c r="A1324" s="62">
        <v>1322.0</v>
      </c>
      <c r="B1324" s="47">
        <v>46195.0</v>
      </c>
      <c r="C1324" s="48">
        <v>3856.0</v>
      </c>
      <c r="D1324" s="49" t="s">
        <v>1513</v>
      </c>
      <c r="E1324" s="54" t="s">
        <v>13</v>
      </c>
      <c r="F1324" s="49" t="s">
        <v>1530</v>
      </c>
      <c r="G1324" s="55" t="s">
        <v>38</v>
      </c>
      <c r="H1324" s="30">
        <v>917.28</v>
      </c>
      <c r="I1324" s="30">
        <v>17000.0</v>
      </c>
      <c r="J1324" s="29"/>
      <c r="K1324" s="29"/>
      <c r="L1324" s="30"/>
      <c r="M1324" s="29"/>
      <c r="N1324" s="31" t="s">
        <v>1580</v>
      </c>
      <c r="O1324" s="44"/>
      <c r="P1324" s="61" t="str">
        <f t="array" ref="P1324">IFERROR(
HYPERLINK(
"https://drive.google.com/file/d/"&amp;
XLOOKUP(O1324,'Hoa-Don'!A:A,'Hoa-Don'!D:D)
&amp;"/view",
"🔎"
),
""
)</f>
        <v/>
      </c>
    </row>
    <row r="1325" ht="22.5" customHeight="1">
      <c r="A1325" s="62">
        <v>1323.0</v>
      </c>
      <c r="B1325" s="47">
        <v>46204.0</v>
      </c>
      <c r="C1325" s="48">
        <v>728.0</v>
      </c>
      <c r="D1325" s="49" t="s">
        <v>1554</v>
      </c>
      <c r="E1325" s="58" t="s">
        <v>18</v>
      </c>
      <c r="F1325" s="49" t="s">
        <v>1564</v>
      </c>
      <c r="G1325" s="55" t="s">
        <v>38</v>
      </c>
      <c r="H1325" s="30">
        <v>416.0</v>
      </c>
      <c r="I1325" s="30">
        <v>20455.0</v>
      </c>
      <c r="J1325" s="29"/>
      <c r="K1325" s="29"/>
      <c r="L1325" s="30"/>
      <c r="M1325" s="29"/>
      <c r="N1325" s="31" t="s">
        <v>1581</v>
      </c>
      <c r="O1325" s="44"/>
      <c r="P1325" s="61" t="str">
        <f t="array" ref="P1325">IFERROR(
HYPERLINK(
"https://drive.google.com/file/d/"&amp;
XLOOKUP(O1325,'Hoa-Don'!A:A,'Hoa-Don'!D:D)
&amp;"/view",
"🔎"
),
""
)</f>
        <v/>
      </c>
    </row>
    <row r="1326" ht="22.5" customHeight="1">
      <c r="A1326" s="62">
        <v>1325.0</v>
      </c>
      <c r="B1326" s="47">
        <v>46204.0</v>
      </c>
      <c r="C1326" s="48">
        <v>32.0</v>
      </c>
      <c r="D1326" s="49" t="s">
        <v>1552</v>
      </c>
      <c r="E1326" s="58" t="s">
        <v>18</v>
      </c>
      <c r="F1326" s="49" t="s">
        <v>1564</v>
      </c>
      <c r="G1326" s="51" t="s">
        <v>42</v>
      </c>
      <c r="H1326" s="30">
        <v>416.0</v>
      </c>
      <c r="I1326" s="30"/>
      <c r="J1326" s="29"/>
      <c r="K1326" s="29"/>
      <c r="L1326" s="30"/>
      <c r="M1326" s="29"/>
      <c r="N1326" s="31" t="s">
        <v>1582</v>
      </c>
      <c r="O1326" s="44"/>
      <c r="P1326" s="61" t="str">
        <f t="array" ref="P1326">IFERROR(
HYPERLINK(
"https://drive.google.com/file/d/"&amp;
XLOOKUP(O1326,'Hoa-Don'!A:A,'Hoa-Don'!D:D)
&amp;"/view",
"🔎"
),
""
)</f>
        <v/>
      </c>
    </row>
    <row r="1327" ht="22.5" customHeight="1">
      <c r="A1327" s="62">
        <v>1326.0</v>
      </c>
      <c r="B1327" s="47">
        <v>46206.0</v>
      </c>
      <c r="C1327" s="48">
        <v>33.0</v>
      </c>
      <c r="D1327" s="49" t="s">
        <v>1523</v>
      </c>
      <c r="E1327" s="58" t="s">
        <v>18</v>
      </c>
      <c r="F1327" s="49" t="s">
        <v>19</v>
      </c>
      <c r="G1327" s="51" t="s">
        <v>42</v>
      </c>
      <c r="H1327" s="30">
        <v>1938.93</v>
      </c>
      <c r="I1327" s="30"/>
      <c r="J1327" s="29"/>
      <c r="K1327" s="29"/>
      <c r="L1327" s="30"/>
      <c r="M1327" s="29"/>
      <c r="N1327" s="31" t="s">
        <v>1583</v>
      </c>
      <c r="O1327" s="44"/>
      <c r="P1327" s="61" t="str">
        <f t="array" ref="P1327">IFERROR(
HYPERLINK(
"https://drive.google.com/file/d/"&amp;
XLOOKUP(O1327,'Hoa-Don'!A:A,'Hoa-Don'!D:D)
&amp;"/view",
"🔎"
),
""
)</f>
        <v/>
      </c>
    </row>
    <row r="1328" ht="22.5" customHeight="1">
      <c r="A1328" s="62">
        <v>1327.0</v>
      </c>
      <c r="B1328" s="47">
        <v>46211.0</v>
      </c>
      <c r="C1328" s="48">
        <v>317.0</v>
      </c>
      <c r="D1328" s="49" t="s">
        <v>1542</v>
      </c>
      <c r="E1328" s="58" t="s">
        <v>18</v>
      </c>
      <c r="F1328" s="49" t="s">
        <v>1584</v>
      </c>
      <c r="G1328" s="55" t="s">
        <v>38</v>
      </c>
      <c r="H1328" s="30">
        <v>3748.0</v>
      </c>
      <c r="I1328" s="30">
        <v>15637.0</v>
      </c>
      <c r="J1328" s="29"/>
      <c r="K1328" s="29"/>
      <c r="L1328" s="30"/>
      <c r="M1328" s="29"/>
      <c r="N1328" s="31" t="s">
        <v>1585</v>
      </c>
      <c r="O1328" s="44"/>
      <c r="P1328" s="61" t="str">
        <f t="array" ref="P1328">IFERROR(
HYPERLINK(
"https://drive.google.com/file/d/"&amp;
XLOOKUP(O1328,'Hoa-Don'!A:A,'Hoa-Don'!D:D)
&amp;"/view",
"🔎"
),
""
)</f>
        <v/>
      </c>
    </row>
    <row r="1329" ht="22.5" customHeight="1">
      <c r="A1329" s="62">
        <v>1328.0</v>
      </c>
      <c r="B1329" s="47">
        <v>46213.0</v>
      </c>
      <c r="C1329" s="48">
        <v>4409.0</v>
      </c>
      <c r="D1329" s="49" t="s">
        <v>1572</v>
      </c>
      <c r="E1329" s="50" t="s">
        <v>11</v>
      </c>
      <c r="F1329" s="49" t="s">
        <v>1586</v>
      </c>
      <c r="G1329" s="55" t="s">
        <v>38</v>
      </c>
      <c r="H1329" s="30">
        <v>360.0</v>
      </c>
      <c r="I1329" s="30">
        <v>15272.73</v>
      </c>
      <c r="J1329" s="29"/>
      <c r="K1329" s="29"/>
      <c r="L1329" s="30"/>
      <c r="M1329" s="29"/>
      <c r="N1329" s="31" t="s">
        <v>1587</v>
      </c>
      <c r="O1329" s="44"/>
      <c r="P1329" s="61" t="str">
        <f t="array" ref="P1329">IFERROR(
HYPERLINK(
"https://drive.google.com/file/d/"&amp;
XLOOKUP(O1329,'Hoa-Don'!A:A,'Hoa-Don'!D:D)
&amp;"/view",
"🔎"
),
""
)</f>
        <v/>
      </c>
    </row>
    <row r="1330" ht="22.5" customHeight="1">
      <c r="A1330" s="62">
        <v>1329.0</v>
      </c>
      <c r="B1330" s="47">
        <v>46213.0</v>
      </c>
      <c r="C1330" s="48">
        <v>4409.0</v>
      </c>
      <c r="D1330" s="49" t="s">
        <v>1572</v>
      </c>
      <c r="E1330" s="50" t="s">
        <v>11</v>
      </c>
      <c r="F1330" s="49" t="s">
        <v>1588</v>
      </c>
      <c r="G1330" s="55" t="s">
        <v>38</v>
      </c>
      <c r="H1330" s="30">
        <v>832.0</v>
      </c>
      <c r="I1330" s="30">
        <v>16000.0</v>
      </c>
      <c r="J1330" s="29"/>
      <c r="K1330" s="29"/>
      <c r="L1330" s="30"/>
      <c r="M1330" s="29"/>
      <c r="N1330" s="31" t="s">
        <v>1589</v>
      </c>
      <c r="O1330" s="44"/>
      <c r="P1330" s="61" t="str">
        <f t="array" ref="P1330">IFERROR(
HYPERLINK(
"https://drive.google.com/file/d/"&amp;
XLOOKUP(O1330,'Hoa-Don'!A:A,'Hoa-Don'!D:D)
&amp;"/view",
"🔎"
),
""
)</f>
        <v/>
      </c>
    </row>
    <row r="1331" ht="22.5" customHeight="1">
      <c r="A1331" s="62">
        <v>1330.0</v>
      </c>
      <c r="B1331" s="47">
        <v>46213.0</v>
      </c>
      <c r="C1331" s="48">
        <v>4409.0</v>
      </c>
      <c r="D1331" s="49" t="s">
        <v>1572</v>
      </c>
      <c r="E1331" s="50" t="s">
        <v>11</v>
      </c>
      <c r="F1331" s="49" t="s">
        <v>1501</v>
      </c>
      <c r="G1331" s="55" t="s">
        <v>38</v>
      </c>
      <c r="H1331" s="30">
        <v>1024.0</v>
      </c>
      <c r="I1331" s="30">
        <v>15636.36</v>
      </c>
      <c r="J1331" s="29"/>
      <c r="K1331" s="29"/>
      <c r="L1331" s="30"/>
      <c r="M1331" s="29"/>
      <c r="N1331" s="31" t="s">
        <v>1590</v>
      </c>
      <c r="O1331" s="44"/>
      <c r="P1331" s="61" t="str">
        <f t="array" ref="P1331">IFERROR(
HYPERLINK(
"https://drive.google.com/file/d/"&amp;
XLOOKUP(O1331,'Hoa-Don'!A:A,'Hoa-Don'!D:D)
&amp;"/view",
"🔎"
),
""
)</f>
        <v/>
      </c>
    </row>
    <row r="1332" ht="22.5" customHeight="1">
      <c r="A1332" s="62">
        <v>1331.0</v>
      </c>
      <c r="B1332" s="47">
        <v>46213.0</v>
      </c>
      <c r="C1332" s="48">
        <v>4409.0</v>
      </c>
      <c r="D1332" s="49" t="s">
        <v>1572</v>
      </c>
      <c r="E1332" s="50" t="s">
        <v>11</v>
      </c>
      <c r="F1332" s="49" t="s">
        <v>1491</v>
      </c>
      <c r="G1332" s="55" t="s">
        <v>38</v>
      </c>
      <c r="H1332" s="30">
        <v>892.0</v>
      </c>
      <c r="I1332" s="30">
        <v>15272.73</v>
      </c>
      <c r="J1332" s="29"/>
      <c r="K1332" s="29"/>
      <c r="L1332" s="30"/>
      <c r="M1332" s="29"/>
      <c r="N1332" s="31" t="s">
        <v>1591</v>
      </c>
      <c r="O1332" s="44"/>
      <c r="P1332" s="61" t="str">
        <f t="array" ref="P1332">IFERROR(
HYPERLINK(
"https://drive.google.com/file/d/"&amp;
XLOOKUP(O1332,'Hoa-Don'!A:A,'Hoa-Don'!D:D)
&amp;"/view",
"🔎"
),
""
)</f>
        <v/>
      </c>
    </row>
    <row r="1333" ht="22.5" customHeight="1">
      <c r="A1333" s="62">
        <v>1332.0</v>
      </c>
      <c r="B1333" s="47">
        <v>46213.0</v>
      </c>
      <c r="C1333" s="48">
        <v>4409.0</v>
      </c>
      <c r="D1333" s="49" t="s">
        <v>1572</v>
      </c>
      <c r="E1333" s="50" t="s">
        <v>11</v>
      </c>
      <c r="F1333" s="49" t="s">
        <v>1592</v>
      </c>
      <c r="G1333" s="55" t="s">
        <v>38</v>
      </c>
      <c r="H1333" s="30">
        <v>850.0</v>
      </c>
      <c r="I1333" s="30">
        <v>15454.55</v>
      </c>
      <c r="J1333" s="29"/>
      <c r="K1333" s="29"/>
      <c r="L1333" s="30"/>
      <c r="M1333" s="29"/>
      <c r="N1333" s="31" t="s">
        <v>1593</v>
      </c>
      <c r="O1333" s="44"/>
      <c r="P1333" s="61" t="str">
        <f t="array" ref="P1333">IFERROR(
HYPERLINK(
"https://drive.google.com/file/d/"&amp;
XLOOKUP(O1333,'Hoa-Don'!A:A,'Hoa-Don'!D:D)
&amp;"/view",
"🔎"
),
""
)</f>
        <v/>
      </c>
    </row>
  </sheetData>
  <dataValidations>
    <dataValidation type="list" allowBlank="1" sqref="G2:G1333">
      <formula1>#REF!</formula1>
    </dataValidation>
    <dataValidation type="custom" allowBlank="1" showDropDown="1" sqref="H2:I1333 L2:L1333">
      <formula1>AND(ISNUMBER(H2),(NOT(OR(NOT(ISERROR(DATEVALUE(H2))), AND(ISNUMBER(H2), LEFT(CELL("format", H2))="D")))))</formula1>
    </dataValidation>
    <dataValidation type="list" allowBlank="1" sqref="E2:E1333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86"/>
    <col customWidth="1" min="2" max="2" width="61.43"/>
    <col customWidth="1" min="3" max="3" width="23.0"/>
    <col customWidth="1" min="4" max="4" width="81.71"/>
    <col customWidth="1" min="5" max="5" width="22.57"/>
    <col customWidth="1" min="6" max="6" width="25.86"/>
  </cols>
  <sheetData>
    <row r="1" ht="22.5" customHeight="1">
      <c r="A1" s="63" t="s">
        <v>1594</v>
      </c>
      <c r="B1" s="63" t="s">
        <v>1595</v>
      </c>
      <c r="C1" s="63" t="s">
        <v>1596</v>
      </c>
      <c r="D1" s="63" t="s">
        <v>1597</v>
      </c>
      <c r="E1" s="63" t="s">
        <v>1598</v>
      </c>
      <c r="F1" s="64" t="s">
        <v>1599</v>
      </c>
    </row>
    <row r="2" ht="22.5" customHeight="1">
      <c r="A2" s="44" t="s">
        <v>1505</v>
      </c>
      <c r="B2" s="44" t="s">
        <v>1600</v>
      </c>
      <c r="C2" s="61" t="s">
        <v>1601</v>
      </c>
      <c r="D2" s="44" t="s">
        <v>1602</v>
      </c>
      <c r="E2" s="61" t="s">
        <v>1601</v>
      </c>
      <c r="F2" s="65" t="str">
        <f t="array" ref="F2:F24">IF(D2:D24="","",HYPERLINK("https://drive.google.com/file/d/"&amp;D2:D24&amp;"/view","🔎 Xem"))</f>
        <v>🔎 Xem</v>
      </c>
    </row>
    <row r="3" ht="22.5" customHeight="1">
      <c r="A3" s="44" t="s">
        <v>1489</v>
      </c>
      <c r="B3" s="44"/>
      <c r="C3" s="61"/>
      <c r="D3" s="44" t="s">
        <v>1603</v>
      </c>
      <c r="E3" s="61" t="s">
        <v>1601</v>
      </c>
      <c r="F3" s="65" t="s">
        <v>1604</v>
      </c>
    </row>
    <row r="4" ht="22.5" customHeight="1">
      <c r="A4" s="44" t="s">
        <v>1481</v>
      </c>
      <c r="B4" s="44" t="s">
        <v>1605</v>
      </c>
      <c r="C4" s="61" t="s">
        <v>1601</v>
      </c>
      <c r="D4" s="44" t="s">
        <v>1606</v>
      </c>
      <c r="E4" s="61" t="s">
        <v>1601</v>
      </c>
      <c r="F4" s="65" t="s">
        <v>1604</v>
      </c>
    </row>
    <row r="5" ht="22.5" customHeight="1">
      <c r="A5" s="44" t="s">
        <v>1462</v>
      </c>
      <c r="B5" s="44" t="s">
        <v>1607</v>
      </c>
      <c r="C5" s="61" t="s">
        <v>1601</v>
      </c>
      <c r="D5" s="44" t="s">
        <v>1608</v>
      </c>
      <c r="E5" s="61" t="s">
        <v>1601</v>
      </c>
      <c r="F5" s="65" t="s">
        <v>1604</v>
      </c>
    </row>
    <row r="6" ht="22.5" customHeight="1">
      <c r="A6" s="44" t="s">
        <v>1464</v>
      </c>
      <c r="B6" s="44" t="s">
        <v>1609</v>
      </c>
      <c r="C6" s="61" t="s">
        <v>1601</v>
      </c>
      <c r="D6" s="44" t="s">
        <v>1610</v>
      </c>
      <c r="E6" s="61" t="s">
        <v>1601</v>
      </c>
      <c r="F6" s="65" t="s">
        <v>1604</v>
      </c>
    </row>
    <row r="7" ht="22.5" customHeight="1">
      <c r="A7" s="44" t="s">
        <v>1451</v>
      </c>
      <c r="B7" s="44" t="s">
        <v>1611</v>
      </c>
      <c r="C7" s="61" t="s">
        <v>1601</v>
      </c>
      <c r="D7" s="44" t="s">
        <v>1612</v>
      </c>
      <c r="E7" s="61" t="s">
        <v>1601</v>
      </c>
      <c r="F7" s="65" t="s">
        <v>1604</v>
      </c>
    </row>
    <row r="8" ht="22.5" customHeight="1">
      <c r="A8" s="44" t="s">
        <v>1507</v>
      </c>
      <c r="B8" s="44" t="s">
        <v>1613</v>
      </c>
      <c r="C8" s="61" t="s">
        <v>1601</v>
      </c>
      <c r="D8" s="44"/>
      <c r="E8" s="61"/>
      <c r="F8" s="66" t="s">
        <v>1614</v>
      </c>
    </row>
    <row r="9" ht="22.5" customHeight="1">
      <c r="A9" s="44" t="s">
        <v>1509</v>
      </c>
      <c r="B9" s="44" t="s">
        <v>1615</v>
      </c>
      <c r="C9" s="61" t="s">
        <v>1601</v>
      </c>
      <c r="D9" s="44"/>
      <c r="E9" s="61"/>
      <c r="F9" s="66" t="s">
        <v>1614</v>
      </c>
    </row>
    <row r="10" ht="22.5" customHeight="1">
      <c r="A10" s="44" t="s">
        <v>1616</v>
      </c>
      <c r="B10" s="44" t="s">
        <v>1617</v>
      </c>
      <c r="C10" s="61" t="s">
        <v>1601</v>
      </c>
      <c r="D10" s="44" t="s">
        <v>1618</v>
      </c>
      <c r="E10" s="61" t="s">
        <v>1601</v>
      </c>
      <c r="F10" s="65" t="s">
        <v>1604</v>
      </c>
    </row>
    <row r="11" ht="22.5" customHeight="1">
      <c r="A11" s="44" t="s">
        <v>1619</v>
      </c>
      <c r="B11" s="44" t="s">
        <v>1620</v>
      </c>
      <c r="C11" s="61" t="s">
        <v>1601</v>
      </c>
      <c r="D11" s="44" t="s">
        <v>1621</v>
      </c>
      <c r="E11" s="61" t="s">
        <v>1601</v>
      </c>
      <c r="F11" s="65" t="s">
        <v>1604</v>
      </c>
    </row>
    <row r="12" ht="22.5" customHeight="1">
      <c r="A12" s="44" t="s">
        <v>1622</v>
      </c>
      <c r="B12" s="44" t="s">
        <v>1623</v>
      </c>
      <c r="C12" s="61" t="s">
        <v>1601</v>
      </c>
      <c r="D12" s="44" t="s">
        <v>1624</v>
      </c>
      <c r="E12" s="61" t="s">
        <v>1601</v>
      </c>
      <c r="F12" s="65" t="s">
        <v>1604</v>
      </c>
    </row>
    <row r="13" ht="22.5" customHeight="1">
      <c r="A13" s="44" t="s">
        <v>1625</v>
      </c>
      <c r="B13" s="44" t="s">
        <v>1626</v>
      </c>
      <c r="C13" s="61" t="s">
        <v>1601</v>
      </c>
      <c r="D13" s="44" t="s">
        <v>1627</v>
      </c>
      <c r="E13" s="61" t="s">
        <v>1601</v>
      </c>
      <c r="F13" s="65" t="s">
        <v>1604</v>
      </c>
    </row>
    <row r="14" ht="22.5" customHeight="1">
      <c r="A14" s="44" t="s">
        <v>1628</v>
      </c>
      <c r="B14" s="44" t="s">
        <v>1629</v>
      </c>
      <c r="C14" s="61" t="s">
        <v>1601</v>
      </c>
      <c r="D14" s="44" t="s">
        <v>1630</v>
      </c>
      <c r="E14" s="61" t="s">
        <v>1601</v>
      </c>
      <c r="F14" s="65" t="s">
        <v>1604</v>
      </c>
    </row>
    <row r="15" ht="22.5" customHeight="1">
      <c r="A15" s="44" t="s">
        <v>1631</v>
      </c>
      <c r="B15" s="44" t="s">
        <v>1632</v>
      </c>
      <c r="C15" s="61" t="s">
        <v>1601</v>
      </c>
      <c r="D15" s="44" t="s">
        <v>1633</v>
      </c>
      <c r="E15" s="61" t="s">
        <v>1601</v>
      </c>
      <c r="F15" s="65" t="s">
        <v>1604</v>
      </c>
    </row>
    <row r="16" ht="22.5" customHeight="1">
      <c r="A16" s="44" t="s">
        <v>1634</v>
      </c>
      <c r="B16" s="44" t="s">
        <v>1635</v>
      </c>
      <c r="C16" s="61" t="s">
        <v>1601</v>
      </c>
      <c r="D16" s="44" t="s">
        <v>1636</v>
      </c>
      <c r="E16" s="61" t="s">
        <v>1601</v>
      </c>
      <c r="F16" s="65" t="s">
        <v>1604</v>
      </c>
    </row>
    <row r="17" ht="22.5" customHeight="1">
      <c r="A17" s="44" t="s">
        <v>1637</v>
      </c>
      <c r="B17" s="44" t="s">
        <v>1638</v>
      </c>
      <c r="C17" s="61" t="s">
        <v>1601</v>
      </c>
      <c r="D17" s="44" t="s">
        <v>1639</v>
      </c>
      <c r="E17" s="61" t="s">
        <v>1601</v>
      </c>
      <c r="F17" s="65" t="s">
        <v>1604</v>
      </c>
    </row>
    <row r="18" ht="22.5" customHeight="1">
      <c r="A18" s="44" t="s">
        <v>1640</v>
      </c>
      <c r="B18" s="44"/>
      <c r="C18" s="61"/>
      <c r="D18" s="44" t="s">
        <v>1641</v>
      </c>
      <c r="E18" s="61" t="s">
        <v>1601</v>
      </c>
      <c r="F18" s="65" t="s">
        <v>1604</v>
      </c>
    </row>
    <row r="19" ht="22.5" customHeight="1">
      <c r="A19" s="44" t="s">
        <v>1642</v>
      </c>
      <c r="B19" s="44" t="s">
        <v>1643</v>
      </c>
      <c r="C19" s="61" t="s">
        <v>1601</v>
      </c>
      <c r="D19" s="44" t="s">
        <v>1644</v>
      </c>
      <c r="E19" s="61" t="s">
        <v>1601</v>
      </c>
      <c r="F19" s="65" t="s">
        <v>1604</v>
      </c>
    </row>
    <row r="20" ht="22.5" customHeight="1">
      <c r="A20" s="44" t="s">
        <v>1645</v>
      </c>
      <c r="B20" s="44" t="s">
        <v>1646</v>
      </c>
      <c r="C20" s="61" t="s">
        <v>1601</v>
      </c>
      <c r="D20" s="44" t="s">
        <v>1647</v>
      </c>
      <c r="E20" s="61" t="s">
        <v>1601</v>
      </c>
      <c r="F20" s="65" t="s">
        <v>1604</v>
      </c>
    </row>
    <row r="21" ht="22.5" customHeight="1">
      <c r="A21" s="44" t="s">
        <v>1558</v>
      </c>
      <c r="B21" s="44" t="s">
        <v>1648</v>
      </c>
      <c r="C21" s="61" t="s">
        <v>1601</v>
      </c>
      <c r="D21" s="44" t="s">
        <v>1649</v>
      </c>
      <c r="E21" s="61" t="s">
        <v>1601</v>
      </c>
      <c r="F21" s="65" t="s">
        <v>1604</v>
      </c>
    </row>
    <row r="22" ht="22.5" customHeight="1">
      <c r="A22" s="44" t="s">
        <v>1650</v>
      </c>
      <c r="B22" s="44"/>
      <c r="C22" s="61"/>
      <c r="D22" s="44" t="s">
        <v>1651</v>
      </c>
      <c r="E22" s="61" t="s">
        <v>1601</v>
      </c>
      <c r="F22" s="65" t="s">
        <v>1604</v>
      </c>
    </row>
    <row r="23" ht="22.5" customHeight="1">
      <c r="A23" s="44" t="s">
        <v>1652</v>
      </c>
      <c r="B23" s="44"/>
      <c r="C23" s="61"/>
      <c r="D23" s="44" t="s">
        <v>1653</v>
      </c>
      <c r="E23" s="61" t="s">
        <v>1601</v>
      </c>
      <c r="F23" s="65" t="s">
        <v>1604</v>
      </c>
    </row>
    <row r="24" ht="22.5" customHeight="1">
      <c r="A24" s="44" t="s">
        <v>1654</v>
      </c>
      <c r="B24" s="44"/>
      <c r="C24" s="61"/>
      <c r="D24" s="44" t="s">
        <v>1655</v>
      </c>
      <c r="E24" s="61" t="s">
        <v>1601</v>
      </c>
      <c r="F24" s="65" t="s">
        <v>1604</v>
      </c>
    </row>
  </sheetData>
  <hyperlinks>
    <hyperlink r:id="rId1" ref="F3"/>
    <hyperlink r:id="rId2" ref="F4"/>
    <hyperlink r:id="rId3" ref="F5"/>
    <hyperlink r:id="rId4" ref="F6"/>
    <hyperlink r:id="rId5" ref="F7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</hyperlinks>
  <drawing r:id="rId21"/>
  <tableParts count="1"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98.0"/>
    <col customWidth="1" min="3" max="3" width="19.86"/>
    <col customWidth="1" min="4" max="6" width="25.86"/>
  </cols>
  <sheetData>
    <row r="1" ht="22.5" customHeight="1">
      <c r="A1" s="67" t="s">
        <v>0</v>
      </c>
      <c r="B1" s="67" t="s">
        <v>1</v>
      </c>
      <c r="C1" s="67" t="s">
        <v>2</v>
      </c>
    </row>
    <row r="2" ht="22.5" customHeight="1">
      <c r="A2" s="68" t="s">
        <v>18</v>
      </c>
      <c r="B2" s="69" t="s">
        <v>19</v>
      </c>
      <c r="C2" s="70" t="s">
        <v>8</v>
      </c>
    </row>
    <row r="3" ht="22.5" customHeight="1">
      <c r="A3" s="71" t="s">
        <v>11</v>
      </c>
      <c r="B3" s="72" t="s">
        <v>12</v>
      </c>
      <c r="C3" s="70" t="s">
        <v>8</v>
      </c>
    </row>
    <row r="4" ht="22.5" customHeight="1">
      <c r="A4" s="73" t="s">
        <v>13</v>
      </c>
      <c r="B4" s="69" t="s">
        <v>14</v>
      </c>
      <c r="C4" s="70" t="s">
        <v>8</v>
      </c>
    </row>
    <row r="5" ht="22.5" customHeight="1">
      <c r="A5" s="74" t="s">
        <v>16</v>
      </c>
      <c r="B5" s="69" t="s">
        <v>17</v>
      </c>
      <c r="C5" s="70" t="s">
        <v>8</v>
      </c>
    </row>
    <row r="6" ht="22.5" customHeight="1">
      <c r="A6" s="75" t="s">
        <v>9</v>
      </c>
      <c r="B6" s="69" t="s">
        <v>10</v>
      </c>
      <c r="C6" s="70" t="s">
        <v>8</v>
      </c>
    </row>
    <row r="7" ht="22.5" customHeight="1">
      <c r="A7" s="76" t="s">
        <v>22</v>
      </c>
      <c r="B7" s="69" t="s">
        <v>23</v>
      </c>
      <c r="C7" s="70" t="s">
        <v>8</v>
      </c>
    </row>
    <row r="8" ht="22.5" customHeight="1">
      <c r="A8" s="77" t="s">
        <v>6</v>
      </c>
      <c r="B8" s="72" t="s">
        <v>7</v>
      </c>
      <c r="C8" s="70" t="s">
        <v>8</v>
      </c>
    </row>
    <row r="9" ht="22.5" customHeight="1">
      <c r="A9" s="78" t="s">
        <v>20</v>
      </c>
      <c r="B9" s="69" t="s">
        <v>21</v>
      </c>
      <c r="C9" s="70" t="s">
        <v>8</v>
      </c>
    </row>
    <row r="10" ht="22.5" customHeight="1">
      <c r="A10" s="79" t="s">
        <v>1656</v>
      </c>
      <c r="B10" s="72" t="s">
        <v>1657</v>
      </c>
      <c r="C10" s="80" t="s">
        <v>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86"/>
  </cols>
  <sheetData>
    <row r="1" ht="22.5" customHeight="1">
      <c r="A1" s="81" t="s">
        <v>1658</v>
      </c>
    </row>
    <row r="2" ht="22.5" customHeight="1">
      <c r="A2" s="82" t="s">
        <v>38</v>
      </c>
    </row>
    <row r="3" ht="22.5" customHeight="1">
      <c r="A3" s="83" t="s">
        <v>42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86"/>
  </cols>
  <sheetData>
    <row r="1" ht="22.5" customHeight="1">
      <c r="A1" s="81" t="s">
        <v>1659</v>
      </c>
      <c r="B1" s="81" t="s">
        <v>1660</v>
      </c>
    </row>
    <row r="2" ht="22.5" customHeight="1">
      <c r="A2" s="84" t="s">
        <v>1661</v>
      </c>
      <c r="B2" s="84" t="s">
        <v>1662</v>
      </c>
    </row>
    <row r="3" ht="22.5" customHeight="1">
      <c r="A3" s="84" t="s">
        <v>1663</v>
      </c>
      <c r="B3" s="84" t="s">
        <v>1664</v>
      </c>
    </row>
    <row r="4" ht="22.5" customHeight="1">
      <c r="A4" s="84" t="s">
        <v>1665</v>
      </c>
      <c r="B4" s="84" t="s">
        <v>1666</v>
      </c>
    </row>
    <row r="5" ht="22.5" customHeight="1">
      <c r="A5" s="84" t="s">
        <v>1667</v>
      </c>
      <c r="B5" s="84" t="s">
        <v>1668</v>
      </c>
    </row>
    <row r="6" ht="22.5" customHeight="1">
      <c r="A6" s="84" t="s">
        <v>1669</v>
      </c>
      <c r="B6" s="84" t="s">
        <v>1662</v>
      </c>
    </row>
    <row r="7" ht="22.5" customHeight="1">
      <c r="A7" s="84" t="s">
        <v>1670</v>
      </c>
      <c r="B7" s="84" t="s">
        <v>1664</v>
      </c>
    </row>
    <row r="8" ht="22.5" customHeight="1">
      <c r="A8" s="84" t="s">
        <v>1671</v>
      </c>
      <c r="B8" s="84" t="s">
        <v>1666</v>
      </c>
    </row>
    <row r="9" ht="22.5" customHeight="1">
      <c r="A9" s="84" t="s">
        <v>1672</v>
      </c>
      <c r="B9" s="84" t="s">
        <v>1668</v>
      </c>
    </row>
    <row r="10" ht="22.5" customHeight="1">
      <c r="A10" s="85" t="s">
        <v>1673</v>
      </c>
      <c r="B10" s="84" t="s">
        <v>1674</v>
      </c>
    </row>
    <row r="11" ht="22.5" customHeight="1">
      <c r="A11" s="84" t="s">
        <v>1675</v>
      </c>
      <c r="B11" s="84" t="s">
        <v>1676</v>
      </c>
    </row>
    <row r="12" ht="22.5" customHeight="1">
      <c r="A12" s="85" t="s">
        <v>1677</v>
      </c>
      <c r="B12" s="84" t="s">
        <v>1678</v>
      </c>
    </row>
    <row r="13" ht="22.5" customHeight="1">
      <c r="A13" s="84" t="s">
        <v>1679</v>
      </c>
      <c r="B13" s="84" t="s">
        <v>1680</v>
      </c>
    </row>
    <row r="14" ht="22.5" customHeight="1">
      <c r="A14" s="84" t="s">
        <v>1681</v>
      </c>
      <c r="B14" s="84" t="s">
        <v>1682</v>
      </c>
    </row>
    <row r="15" ht="22.5" customHeight="1">
      <c r="A15" s="84" t="s">
        <v>1683</v>
      </c>
      <c r="B15" s="84" t="s">
        <v>1682</v>
      </c>
    </row>
    <row r="16" ht="22.5" customHeight="1">
      <c r="A16" s="84" t="s">
        <v>1684</v>
      </c>
      <c r="B16" s="84" t="s">
        <v>1685</v>
      </c>
    </row>
    <row r="17" ht="22.5" customHeight="1">
      <c r="A17" s="84" t="s">
        <v>1686</v>
      </c>
      <c r="B17" s="84" t="s">
        <v>1685</v>
      </c>
    </row>
    <row r="18" ht="22.5" customHeight="1">
      <c r="A18" s="85" t="s">
        <v>1687</v>
      </c>
      <c r="B18" s="84" t="s">
        <v>1688</v>
      </c>
    </row>
    <row r="19" ht="22.5" customHeight="1">
      <c r="A19" s="84" t="s">
        <v>1689</v>
      </c>
      <c r="B19" s="84" t="s">
        <v>1688</v>
      </c>
    </row>
    <row r="20" ht="22.5" customHeight="1">
      <c r="A20" s="84" t="s">
        <v>1690</v>
      </c>
      <c r="B20" s="84" t="s">
        <v>1691</v>
      </c>
    </row>
    <row r="21" ht="22.5" customHeight="1">
      <c r="A21" s="84" t="s">
        <v>1692</v>
      </c>
      <c r="B21" s="84" t="s">
        <v>1691</v>
      </c>
    </row>
    <row r="22" ht="22.5" customHeight="1">
      <c r="A22" s="84" t="s">
        <v>1693</v>
      </c>
      <c r="B22" s="84" t="s">
        <v>1694</v>
      </c>
    </row>
    <row r="23" ht="22.5" customHeight="1">
      <c r="A23" s="84" t="s">
        <v>1695</v>
      </c>
      <c r="B23" s="84" t="s">
        <v>1696</v>
      </c>
    </row>
    <row r="24" ht="22.5" customHeight="1">
      <c r="A24" s="84" t="s">
        <v>1697</v>
      </c>
      <c r="B24" s="84" t="s">
        <v>1697</v>
      </c>
    </row>
    <row r="25" ht="22.5" customHeight="1">
      <c r="A25" s="84" t="s">
        <v>1698</v>
      </c>
      <c r="B25" s="84" t="s">
        <v>1698</v>
      </c>
    </row>
    <row r="26" ht="22.5" customHeight="1">
      <c r="A26" s="84" t="s">
        <v>1699</v>
      </c>
      <c r="B26" s="84" t="s">
        <v>1700</v>
      </c>
    </row>
    <row r="27" ht="22.5" customHeight="1">
      <c r="A27" s="84" t="s">
        <v>1701</v>
      </c>
      <c r="B27" s="84" t="s">
        <v>1702</v>
      </c>
    </row>
    <row r="28" ht="22.5" customHeight="1">
      <c r="A28" s="84" t="s">
        <v>1703</v>
      </c>
      <c r="B28" s="84" t="s">
        <v>1704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6" t="s">
        <v>1705</v>
      </c>
      <c r="B1" s="86" t="s">
        <v>26</v>
      </c>
      <c r="C1" s="86" t="s">
        <v>0</v>
      </c>
      <c r="D1" s="86" t="s">
        <v>1706</v>
      </c>
    </row>
    <row r="2">
      <c r="A2" s="87"/>
      <c r="B2" s="88"/>
      <c r="C2" s="86"/>
      <c r="D2" s="86"/>
    </row>
    <row r="3">
      <c r="A3" s="87"/>
      <c r="B3" s="88"/>
      <c r="C3" s="86"/>
      <c r="D3" s="86"/>
    </row>
    <row r="4">
      <c r="A4" s="87"/>
      <c r="B4" s="88"/>
      <c r="C4" s="86"/>
      <c r="D4" s="86"/>
    </row>
    <row r="5">
      <c r="A5" s="87"/>
      <c r="B5" s="88"/>
      <c r="C5" s="86"/>
      <c r="D5" s="8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32.86"/>
    <col customWidth="1" min="3" max="3" width="4.29"/>
    <col customWidth="1" min="4" max="4" width="43.0"/>
  </cols>
  <sheetData>
    <row r="1" ht="22.5" customHeight="1">
      <c r="A1" s="89" t="s">
        <v>1707</v>
      </c>
      <c r="B1" s="89" t="s">
        <v>1708</v>
      </c>
      <c r="C1" s="89" t="s">
        <v>1709</v>
      </c>
      <c r="D1" s="89" t="s">
        <v>1710</v>
      </c>
      <c r="O1" s="90" t="s">
        <v>1711</v>
      </c>
      <c r="P1" s="90" t="s">
        <v>1712</v>
      </c>
      <c r="Q1" s="90" t="s">
        <v>1713</v>
      </c>
      <c r="R1" s="90" t="s">
        <v>1714</v>
      </c>
      <c r="S1" s="90" t="s">
        <v>4</v>
      </c>
    </row>
    <row r="2" ht="22.5" customHeight="1">
      <c r="A2" s="91" t="s">
        <v>1715</v>
      </c>
      <c r="B2" s="92"/>
      <c r="C2" s="92"/>
      <c r="D2" s="91" t="s">
        <v>1716</v>
      </c>
    </row>
    <row r="3" ht="22.5" customHeight="1">
      <c r="A3" s="91" t="s">
        <v>1717</v>
      </c>
      <c r="B3" s="92"/>
      <c r="C3" s="92"/>
      <c r="D3" s="91" t="s">
        <v>1718</v>
      </c>
    </row>
    <row r="4" ht="22.5" customHeight="1">
      <c r="A4" s="91" t="s">
        <v>1719</v>
      </c>
      <c r="B4" s="92"/>
      <c r="C4" s="92"/>
      <c r="D4" s="91" t="s">
        <v>1720</v>
      </c>
    </row>
    <row r="5" ht="22.5" customHeight="1">
      <c r="A5" s="91" t="s">
        <v>1721</v>
      </c>
      <c r="B5" s="92"/>
      <c r="C5" s="92"/>
      <c r="D5" s="91" t="s">
        <v>1722</v>
      </c>
    </row>
    <row r="6" ht="22.5" customHeight="1">
      <c r="A6" s="91" t="s">
        <v>1723</v>
      </c>
      <c r="B6" s="93"/>
      <c r="D6" s="91" t="s">
        <v>1724</v>
      </c>
    </row>
    <row r="7" ht="22.5" customHeight="1">
      <c r="A7" s="91" t="s">
        <v>1725</v>
      </c>
      <c r="B7" s="91" t="b">
        <v>1</v>
      </c>
      <c r="D7" s="91" t="s">
        <v>1726</v>
      </c>
    </row>
    <row r="8" ht="22.5" customHeight="1">
      <c r="A8" s="91" t="s">
        <v>1727</v>
      </c>
      <c r="B8" s="91" t="b">
        <v>0</v>
      </c>
      <c r="D8" s="91" t="s">
        <v>1728</v>
      </c>
    </row>
    <row r="9" ht="22.5" customHeight="1">
      <c r="A9" s="91" t="s">
        <v>1729</v>
      </c>
      <c r="B9" s="91" t="b">
        <v>0</v>
      </c>
      <c r="D9" s="91" t="s">
        <v>1730</v>
      </c>
    </row>
  </sheetData>
  <drawing r:id="rId1"/>
  <tableParts count="1">
    <tablePart r:id="rId3"/>
  </tableParts>
</worksheet>
</file>